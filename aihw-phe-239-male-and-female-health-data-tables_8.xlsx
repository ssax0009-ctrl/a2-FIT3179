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showInkAnnotation="0"/>
  <mc:AlternateContent xmlns:mc="http://schemas.openxmlformats.org/markup-compatibility/2006">
    <mc:Choice Requires="x15">
      <x15ac:absPath xmlns:x15ac="http://schemas.microsoft.com/office/spreadsheetml/2010/11/ac" url="http://projects.aihw.gov.au/PRJ02442/Web Content/"/>
    </mc:Choice>
  </mc:AlternateContent>
  <xr:revisionPtr revIDLastSave="0" documentId="13_ncr:1_{A55424DC-FA92-4A10-9008-F23E007864A1}" xr6:coauthVersionLast="47" xr6:coauthVersionMax="47" xr10:uidLastSave="{00000000-0000-0000-0000-000000000000}"/>
  <bookViews>
    <workbookView xWindow="-120" yWindow="-120" windowWidth="29040" windowHeight="17640" tabRatio="937" xr2:uid="{00000000-000D-0000-FFFF-FFFF00000000}"/>
  </bookViews>
  <sheets>
    <sheet name="Contents" sheetId="1" r:id="rId1"/>
    <sheet name="Table S1" sheetId="2" r:id="rId2"/>
    <sheet name="Table S2" sheetId="14" r:id="rId3"/>
    <sheet name="Table S3" sheetId="15" r:id="rId4"/>
    <sheet name="Table S4" sheetId="16" r:id="rId5"/>
    <sheet name="Table S5" sheetId="3" r:id="rId6"/>
    <sheet name="Table S6" sheetId="18" r:id="rId7"/>
    <sheet name="Table S7" sheetId="24" r:id="rId8"/>
    <sheet name="Table S8" sheetId="19" r:id="rId9"/>
    <sheet name="Table S9.1 and S9.2" sheetId="17" r:id="rId10"/>
    <sheet name="Table S10" sheetId="6" r:id="rId11"/>
    <sheet name="Table S11" sheetId="5" r:id="rId12"/>
    <sheet name="Table S12" sheetId="20" r:id="rId13"/>
    <sheet name="Table S13" sheetId="21" r:id="rId14"/>
    <sheet name="Table S14" sheetId="7" r:id="rId15"/>
    <sheet name="Table S15" sheetId="23" r:id="rId16"/>
    <sheet name="Table S16" sheetId="8" r:id="rId17"/>
    <sheet name="Table S17.1 and S17.2" sheetId="9" r:id="rId18"/>
    <sheet name="Table S18" sheetId="25" r:id="rId19"/>
    <sheet name="Data sources" sheetId="10" r:id="rId20"/>
  </sheets>
  <definedNames>
    <definedName name="_ENREF_3_20" localSheetId="9">'Table S9.1 and S9.2'!#REF!</definedName>
    <definedName name="_Hlk118728306" localSheetId="3">'Table S3'!$B$44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0" i="21" l="1"/>
  <c r="L20" i="21"/>
  <c r="P35" i="21" l="1"/>
  <c r="M35" i="21"/>
  <c r="L35" i="21"/>
  <c r="P20" i="21"/>
  <c r="M20" i="21"/>
  <c r="E35" i="21" l="1"/>
  <c r="D35" i="21"/>
  <c r="D20" i="21"/>
  <c r="E20" i="21"/>
  <c r="C20" i="21"/>
  <c r="H20" i="21" l="1"/>
  <c r="H35" i="21" l="1"/>
</calcChain>
</file>

<file path=xl/sharedStrings.xml><?xml version="1.0" encoding="utf-8"?>
<sst xmlns="http://schemas.openxmlformats.org/spreadsheetml/2006/main" count="1654" uniqueCount="1107">
  <si>
    <t>Male and female health data tables</t>
  </si>
  <si>
    <t>Table of Contents</t>
  </si>
  <si>
    <t>Data Sources</t>
  </si>
  <si>
    <t>Return to contents</t>
  </si>
  <si>
    <t>Males (%)</t>
  </si>
  <si>
    <t>Females (%)</t>
  </si>
  <si>
    <t>18–24</t>
  </si>
  <si>
    <t>25–34</t>
  </si>
  <si>
    <t>35–44</t>
  </si>
  <si>
    <t>45–54</t>
  </si>
  <si>
    <t>55–64</t>
  </si>
  <si>
    <t>Males</t>
  </si>
  <si>
    <t>Females</t>
  </si>
  <si>
    <t>65–74</t>
  </si>
  <si>
    <t>75+</t>
  </si>
  <si>
    <t>Age-group (years)</t>
  </si>
  <si>
    <t>0–4</t>
  </si>
  <si>
    <t>5–9</t>
  </si>
  <si>
    <t>10–14</t>
  </si>
  <si>
    <t>15–19</t>
  </si>
  <si>
    <t>20–24</t>
  </si>
  <si>
    <t>25–29</t>
  </si>
  <si>
    <t>30–34</t>
  </si>
  <si>
    <t>35–39</t>
  </si>
  <si>
    <t>40–44</t>
  </si>
  <si>
    <t>45–49</t>
  </si>
  <si>
    <t>50–54</t>
  </si>
  <si>
    <t>55–59</t>
  </si>
  <si>
    <t>60–64</t>
  </si>
  <si>
    <t>65–69</t>
  </si>
  <si>
    <t>70–74</t>
  </si>
  <si>
    <t>75–79</t>
  </si>
  <si>
    <t>80–84</t>
  </si>
  <si>
    <t>85+</t>
  </si>
  <si>
    <t>3+</t>
  </si>
  <si>
    <t>Total</t>
  </si>
  <si>
    <t>Rank</t>
  </si>
  <si>
    <t>Cause of death</t>
  </si>
  <si>
    <t>%</t>
  </si>
  <si>
    <t>Notes</t>
  </si>
  <si>
    <t>Age group (years)</t>
  </si>
  <si>
    <t>75–84</t>
  </si>
  <si>
    <t>Age group</t>
  </si>
  <si>
    <t>1–4</t>
  </si>
  <si>
    <t>5–14</t>
  </si>
  <si>
    <t>15–24</t>
  </si>
  <si>
    <t xml:space="preserve">1. 'Hospitalisation' is synonymous with 'admission' and 'separation', and is an episode of hospital care that starts with the formal admission process and ends with the formal separation process. </t>
  </si>
  <si>
    <t>National Mortality Database</t>
  </si>
  <si>
    <t>1. Totals may not add to 100% due to rounding.</t>
  </si>
  <si>
    <t>Not at risk</t>
  </si>
  <si>
    <t>65+</t>
  </si>
  <si>
    <t>95% CI</t>
  </si>
  <si>
    <t>Major cities</t>
  </si>
  <si>
    <t>Inner regional</t>
  </si>
  <si>
    <t>Outer regional/Remote</t>
  </si>
  <si>
    <t>Total 18+</t>
  </si>
  <si>
    <t>Met both guidelines</t>
  </si>
  <si>
    <t>1.7–3.7</t>
  </si>
  <si>
    <t>52.1–58.2</t>
  </si>
  <si>
    <t>3.4–6.1</t>
  </si>
  <si>
    <t>10.0–14.2</t>
  </si>
  <si>
    <t>9.8–11.9</t>
  </si>
  <si>
    <t>11.3–16.4</t>
  </si>
  <si>
    <t>14.8–21.4</t>
  </si>
  <si>
    <t>5.1–6.6</t>
  </si>
  <si>
    <t>6.2–10.2</t>
  </si>
  <si>
    <t>7.6–13.1</t>
  </si>
  <si>
    <t>14.3–20.2</t>
  </si>
  <si>
    <t>12.9–17.9</t>
  </si>
  <si>
    <t>8.3–12.5</t>
  </si>
  <si>
    <t>4.5–7.6</t>
  </si>
  <si>
    <t>9.8–14.2</t>
  </si>
  <si>
    <t>6.8–10.4</t>
  </si>
  <si>
    <t>4.0–6.3</t>
  </si>
  <si>
    <t>4.1–6.9</t>
  </si>
  <si>
    <t>1.5–3.3</t>
  </si>
  <si>
    <t>19.8–25.1</t>
  </si>
  <si>
    <t>5.2–8.5</t>
  </si>
  <si>
    <t>22.6–28.5</t>
  </si>
  <si>
    <t>7.7–11.3</t>
  </si>
  <si>
    <t>20.9–26.1</t>
  </si>
  <si>
    <t>6.4–9.7</t>
  </si>
  <si>
    <t>19.5–24.7</t>
  </si>
  <si>
    <t>8.4–12.2</t>
  </si>
  <si>
    <t>22.2–28.3</t>
  </si>
  <si>
    <t>7.9–11.8</t>
  </si>
  <si>
    <t>2. See boxes 1.1, 1.2 and appendixes A and B of Admitted patient care 2017–18 for notes on data limitations and methods.</t>
  </si>
  <si>
    <t xml:space="preserve">Total </t>
  </si>
  <si>
    <t>1. Cancers coded in the ICD-10 as C00–C97, D45, D46, D47.1 and D47.3–D47.5 with the exception of those C44 codes that indicate a basal or squamous cell carcinoma of the skin.</t>
  </si>
  <si>
    <t>2. The rates shown for individual age groups are age-specific rates expressed per 100,000.</t>
  </si>
  <si>
    <t>3. The rates shown for 'Total' age group are age-standardised to the Australian population as at 30 June 2001 and are expressed per 100,000 population.</t>
  </si>
  <si>
    <t xml:space="preserve">95% CI </t>
  </si>
  <si>
    <t>66.5–75.1</t>
  </si>
  <si>
    <t>52.4–59.8</t>
  </si>
  <si>
    <t>40.7–47.9</t>
  </si>
  <si>
    <t>26.9–33.1</t>
  </si>
  <si>
    <t>22.1–28.5</t>
  </si>
  <si>
    <t>16.2–22.4</t>
  </si>
  <si>
    <t>38.9–41.9</t>
  </si>
  <si>
    <t>58.4–69.6</t>
  </si>
  <si>
    <t>43.7–50.7</t>
  </si>
  <si>
    <t>31.8–38.2</t>
  </si>
  <si>
    <t>25.3–32.1</t>
  </si>
  <si>
    <t>20.4–26.6</t>
  </si>
  <si>
    <t>32.9–35.5</t>
  </si>
  <si>
    <t>17.3–23.3</t>
  </si>
  <si>
    <t>20.9–26.9</t>
  </si>
  <si>
    <t>24.1–29.5</t>
  </si>
  <si>
    <t>25.4–31.2</t>
  </si>
  <si>
    <t>21.4–26.8</t>
  </si>
  <si>
    <t>22.2–24.6</t>
  </si>
  <si>
    <t>12.2–21.8</t>
  </si>
  <si>
    <t>20.3–25.3</t>
  </si>
  <si>
    <t>16.2–21.4</t>
  </si>
  <si>
    <t>19.9–25.5</t>
  </si>
  <si>
    <t>17.9–23.3</t>
  </si>
  <si>
    <t>18.9–21.5</t>
  </si>
  <si>
    <t>11.1–17.7</t>
  </si>
  <si>
    <t>20.6–25.8</t>
  </si>
  <si>
    <t>28.5–35.9</t>
  </si>
  <si>
    <t>39.3–46.5</t>
  </si>
  <si>
    <t>43.2–49.4</t>
  </si>
  <si>
    <t>53.3–60.1</t>
  </si>
  <si>
    <t>34.8–37.6</t>
  </si>
  <si>
    <t>30.7–37.5</t>
  </si>
  <si>
    <t>39.3–45.1</t>
  </si>
  <si>
    <t>49.5–56.1</t>
  </si>
  <si>
    <t>50.6–56.6</t>
  </si>
  <si>
    <t>59.7–66.3</t>
  </si>
  <si>
    <t>44.4–47.2</t>
  </si>
  <si>
    <t>18–64</t>
  </si>
  <si>
    <t>18.0–23.9</t>
  </si>
  <si>
    <t>14.1–19.0</t>
  </si>
  <si>
    <t>20.2–25.6</t>
  </si>
  <si>
    <t>17.2–22.3</t>
  </si>
  <si>
    <t>20.3–25.5</t>
  </si>
  <si>
    <t>17.4–22.3</t>
  </si>
  <si>
    <t>22.7–28.2</t>
  </si>
  <si>
    <t>21.7–27.4</t>
  </si>
  <si>
    <t>45.7–52.4</t>
  </si>
  <si>
    <t>27.9–34.4</t>
  </si>
  <si>
    <t>25.7–32.2</t>
  </si>
  <si>
    <t>3. 95% CI = 95% confidence interval. We can be 95% confident that the true value is within this confidence interval.</t>
  </si>
  <si>
    <t>40.3–44.3</t>
  </si>
  <si>
    <t>31.9–35.4</t>
  </si>
  <si>
    <t>32.1–38.2</t>
  </si>
  <si>
    <t>31.0–38.0</t>
  </si>
  <si>
    <t>22.4–25.4</t>
  </si>
  <si>
    <t>18.9–25.6</t>
  </si>
  <si>
    <t>39.8–45.6</t>
  </si>
  <si>
    <t>39.3–47.3</t>
  </si>
  <si>
    <t>34.9–38.0</t>
  </si>
  <si>
    <t>25.2–30.6</t>
  </si>
  <si>
    <t>24.6–31.9</t>
  </si>
  <si>
    <t>18.9–22.0</t>
  </si>
  <si>
    <t>17.1–22.6</t>
  </si>
  <si>
    <t>15.0–21.0</t>
  </si>
  <si>
    <t>41.2 –44.8</t>
  </si>
  <si>
    <t>48.9–55.2</t>
  </si>
  <si>
    <t>49.5–58.8</t>
  </si>
  <si>
    <t>34.3–40.7</t>
  </si>
  <si>
    <t>18.2–22.7</t>
  </si>
  <si>
    <t>34.3–41.0</t>
  </si>
  <si>
    <t>36.8–44.5</t>
  </si>
  <si>
    <t>35.7–43.6</t>
  </si>
  <si>
    <t>43.0–48.6</t>
  </si>
  <si>
    <t>24.7–29.6</t>
  </si>
  <si>
    <t>27.4–32.6</t>
  </si>
  <si>
    <t>30.5–37.1</t>
  </si>
  <si>
    <t>33.6–40.7</t>
  </si>
  <si>
    <t>38.5–44.2</t>
  </si>
  <si>
    <t>19.0–23.6</t>
  </si>
  <si>
    <t>23.0–26.8</t>
  </si>
  <si>
    <t>21.6–27.0</t>
  </si>
  <si>
    <t>22.3–28.8</t>
  </si>
  <si>
    <t>17.1–21.6</t>
  </si>
  <si>
    <t>16.0–21.2</t>
  </si>
  <si>
    <t>19.2–25.2</t>
  </si>
  <si>
    <t>16.1–21.0</t>
  </si>
  <si>
    <t>19.8–23.5</t>
  </si>
  <si>
    <t>38.6–45.3</t>
  </si>
  <si>
    <t>38.1–44.1</t>
  </si>
  <si>
    <t>31.8–36.9</t>
  </si>
  <si>
    <t>33.7–37.3</t>
  </si>
  <si>
    <t>25.8–32.1</t>
  </si>
  <si>
    <t>50.0–56.3</t>
  </si>
  <si>
    <t>48.4–54.5</t>
  </si>
  <si>
    <t>40.4–47.2</t>
  </si>
  <si>
    <t>41.8–46.1</t>
  </si>
  <si>
    <t>33.2–40.7</t>
  </si>
  <si>
    <t>Obese</t>
  </si>
  <si>
    <t>b) For adults aged 65 years and over, met guidelines is captured here as completing 30 minutes or more of moderate to vigorous activity (where vigorous activity is multiplied by 2) on at least 5 days per week.</t>
  </si>
  <si>
    <r>
      <t>Remoteness</t>
    </r>
    <r>
      <rPr>
        <b/>
        <vertAlign val="superscript"/>
        <sz val="8"/>
        <color indexed="8"/>
        <rFont val="Arial"/>
        <family val="2"/>
      </rPr>
      <t>(d)</t>
    </r>
  </si>
  <si>
    <t>d) Rates are age-standardised to the 2001 Australian standard population.</t>
  </si>
  <si>
    <t>2. Socioeconomic areas are classified according to Socio-Economic Indexes for Areas 2016 (SEIFA 2016), specifically the Index of Relative Socio-Economic Disadvantage (IRSD).</t>
  </si>
  <si>
    <t>Daily</t>
  </si>
  <si>
    <t>3. Remoteness is classified according to the Australian Statistical Geography Standard 2016 Remoteness Areas structure based on postcode of current residence.</t>
  </si>
  <si>
    <t>4. 95% CI = 95% confidence interval. We can be 95% confident that the true value is within this confidence interval.</t>
  </si>
  <si>
    <t>1. Totals may not add to 100% due to rounding</t>
  </si>
  <si>
    <t>3. Socioeconomic areas are classified according to Socio-Economic Indexes for Areas 2016 (SEIFA 2016), specifically the Index of Relative Socio-Economic Disadvantage (IRSD).</t>
  </si>
  <si>
    <t>4. Remoteness is classified according to the Australian Statistical Geography Standard 2016 Remoteness Areas structure based on postcode of current residence.</t>
  </si>
  <si>
    <t xml:space="preserve">1. Totals may not add to 100% due to rounding. </t>
  </si>
  <si>
    <r>
      <t>Increased risk</t>
    </r>
    <r>
      <rPr>
        <b/>
        <vertAlign val="superscript"/>
        <sz val="8"/>
        <rFont val="Arial"/>
        <family val="2"/>
      </rPr>
      <t>(b)</t>
    </r>
  </si>
  <si>
    <t>b) A waist circumference of 94 cm or more for men or 80 cm or more for women.</t>
  </si>
  <si>
    <t>c) A waist circumference of 102 cm or more for men or 88 cm or more for women.</t>
  </si>
  <si>
    <r>
      <t>Substantially increased risk</t>
    </r>
    <r>
      <rPr>
        <b/>
        <vertAlign val="superscript"/>
        <sz val="8"/>
        <rFont val="Arial"/>
        <family val="2"/>
      </rPr>
      <t>(c)</t>
    </r>
  </si>
  <si>
    <t>Population group</t>
  </si>
  <si>
    <t xml:space="preserve">Population group </t>
  </si>
  <si>
    <r>
      <t>Remoteness</t>
    </r>
    <r>
      <rPr>
        <b/>
        <vertAlign val="superscript"/>
        <sz val="8"/>
        <color indexed="8"/>
        <rFont val="Arial"/>
        <family val="2"/>
      </rPr>
      <t>(b)</t>
    </r>
  </si>
  <si>
    <t>b) Rates are age-standardised to the 2001 Australian standard population.</t>
  </si>
  <si>
    <t>Overweight or obese</t>
  </si>
  <si>
    <t>29.7–40.3</t>
  </si>
  <si>
    <t>38.8–45.6</t>
  </si>
  <si>
    <t>41.5–49.3</t>
  </si>
  <si>
    <t>39.2–46.8</t>
  </si>
  <si>
    <t>38.6–45.8</t>
  </si>
  <si>
    <t>37.3–44.5</t>
  </si>
  <si>
    <t>38.0–50.0</t>
  </si>
  <si>
    <t>35.8–56.6</t>
  </si>
  <si>
    <t>40.5–43.5</t>
  </si>
  <si>
    <t>21.4–30.6</t>
  </si>
  <si>
    <t>23.2–28.8</t>
  </si>
  <si>
    <t>27.6–33.8</t>
  </si>
  <si>
    <t>27.8–33.6</t>
  </si>
  <si>
    <t>25.2–31.6</t>
  </si>
  <si>
    <t>31.4–37.4</t>
  </si>
  <si>
    <t>28.8–37.8</t>
  </si>
  <si>
    <t>29.3–46.7</t>
  </si>
  <si>
    <t>28.3–30.9</t>
  </si>
  <si>
    <t>14.3–21.9</t>
  </si>
  <si>
    <t>21.8–27.4</t>
  </si>
  <si>
    <t>28.5–35.5</t>
  </si>
  <si>
    <t>36.9–44.3</t>
  </si>
  <si>
    <t>38.4–44.8</t>
  </si>
  <si>
    <t>27.7–38.7</t>
  </si>
  <si>
    <t>9.1–22.9</t>
  </si>
  <si>
    <t>31.0–34.0</t>
  </si>
  <si>
    <t>9.4–17.6</t>
  </si>
  <si>
    <t>20.5–25.3</t>
  </si>
  <si>
    <t>26.9–32.3</t>
  </si>
  <si>
    <t>31.5–37.5</t>
  </si>
  <si>
    <t>35.0–41.2</t>
  </si>
  <si>
    <t>35.2–42.2</t>
  </si>
  <si>
    <t>34.4–42.8</t>
  </si>
  <si>
    <t>15.9–29.7</t>
  </si>
  <si>
    <t>29.0–31.4</t>
  </si>
  <si>
    <t>47.0–57.8</t>
  </si>
  <si>
    <t>63.0–70.0</t>
  </si>
  <si>
    <t>75.1–79.9</t>
  </si>
  <si>
    <t>80.5–85.3</t>
  </si>
  <si>
    <t>81.3–85.9</t>
  </si>
  <si>
    <t>80.7–85.9</t>
  </si>
  <si>
    <t>72.5–84.1</t>
  </si>
  <si>
    <t>56.9–73.3</t>
  </si>
  <si>
    <t>73.2–75.8</t>
  </si>
  <si>
    <t>34.9–44.9</t>
  </si>
  <si>
    <t>45.9–52.5</t>
  </si>
  <si>
    <t>57.5–62.7</t>
  </si>
  <si>
    <t>61.6–68.8</t>
  </si>
  <si>
    <t>63.5–69.7</t>
  </si>
  <si>
    <t>70.6–76.0</t>
  </si>
  <si>
    <t>68.7–75.5</t>
  </si>
  <si>
    <t>53.2–69.2</t>
  </si>
  <si>
    <t>58.4–61.0</t>
  </si>
  <si>
    <t>40.9–44.5</t>
  </si>
  <si>
    <t>36.1–43.3</t>
  </si>
  <si>
    <t>36.1–44.4</t>
  </si>
  <si>
    <t>27.7–31.3</t>
  </si>
  <si>
    <t>26.9–32.0</t>
  </si>
  <si>
    <t>26.1–33.8</t>
  </si>
  <si>
    <t>28.7–32.3</t>
  </si>
  <si>
    <t>36.0–42.3</t>
  </si>
  <si>
    <t>30.5–40.8</t>
  </si>
  <si>
    <t>26.1–29.0</t>
  </si>
  <si>
    <t>33.2–39.6</t>
  </si>
  <si>
    <t>34.5–41.1</t>
  </si>
  <si>
    <t>71.4–74.8</t>
  </si>
  <si>
    <t>76.8–81.9</t>
  </si>
  <si>
    <t>71.8–81.2</t>
  </si>
  <si>
    <t>55.5–58.7</t>
  </si>
  <si>
    <t>62.9–68.9</t>
  </si>
  <si>
    <t>63.3–72.2</t>
  </si>
  <si>
    <t>37.1–41.2</t>
  </si>
  <si>
    <t>34.8–42.3</t>
  </si>
  <si>
    <t>39.0–43.7</t>
  </si>
  <si>
    <t>40.5–45.4</t>
  </si>
  <si>
    <t>44.6–48.8</t>
  </si>
  <si>
    <t>25.9–31.4</t>
  </si>
  <si>
    <t>26.4–31.1</t>
  </si>
  <si>
    <t>28.2–32.9</t>
  </si>
  <si>
    <t>28.2–34.2</t>
  </si>
  <si>
    <t>25.7–30.6</t>
  </si>
  <si>
    <t>34.7–41.3</t>
  </si>
  <si>
    <t>32.9–40.2</t>
  </si>
  <si>
    <t>28.9–33.5</t>
  </si>
  <si>
    <t>28.7–35.1</t>
  </si>
  <si>
    <t>23.2–29.2</t>
  </si>
  <si>
    <t>35.4–41.3</t>
  </si>
  <si>
    <t>30.9–36.4</t>
  </si>
  <si>
    <t>26.2–33.4</t>
  </si>
  <si>
    <t>24.6–29.3</t>
  </si>
  <si>
    <t>20.2–26.5</t>
  </si>
  <si>
    <t>75.5–78.0</t>
  </si>
  <si>
    <t>71.9–78.5</t>
  </si>
  <si>
    <t>71.7–73.6</t>
  </si>
  <si>
    <t>74.3–75.4</t>
  </si>
  <si>
    <t>70.9–75.3</t>
  </si>
  <si>
    <t>63.7–69.5</t>
  </si>
  <si>
    <t>60.8–64.3</t>
  </si>
  <si>
    <t>57.9–62.8</t>
  </si>
  <si>
    <t>55.7–60.3</t>
  </si>
  <si>
    <t>49.2–54.2</t>
  </si>
  <si>
    <t xml:space="preserve">c) Did strength or toning activities on 2 or more days. </t>
  </si>
  <si>
    <t>31.3–34.4</t>
  </si>
  <si>
    <t>32.1–39.1</t>
  </si>
  <si>
    <t>29.0–37.2</t>
  </si>
  <si>
    <t>21.8–24.6</t>
  </si>
  <si>
    <t>19.3–25.5</t>
  </si>
  <si>
    <t>18.6–25.9</t>
  </si>
  <si>
    <t>29.7–36.5</t>
  </si>
  <si>
    <t>31.3–37.6</t>
  </si>
  <si>
    <t>30.9–37.0</t>
  </si>
  <si>
    <t>30.6–36.8</t>
  </si>
  <si>
    <t>28.0–34.2</t>
  </si>
  <si>
    <t>25.1–31.2</t>
  </si>
  <si>
    <t>23.2–28.9</t>
  </si>
  <si>
    <t>22.3–27.4</t>
  </si>
  <si>
    <t>16.4–21.5</t>
  </si>
  <si>
    <t>15.7–21.4</t>
  </si>
  <si>
    <t>4.2–7.1</t>
  </si>
  <si>
    <t>5.5–8.4</t>
  </si>
  <si>
    <t>6.2–9.2</t>
  </si>
  <si>
    <t>7.0–10.3</t>
  </si>
  <si>
    <t>6.1–9.6</t>
  </si>
  <si>
    <t>1.2–2.9</t>
  </si>
  <si>
    <t>2.1–4.4</t>
  </si>
  <si>
    <t>2.2–4.3</t>
  </si>
  <si>
    <t>2.4–4.9</t>
  </si>
  <si>
    <t xml:space="preserve">Frequency of diet drink consumption </t>
  </si>
  <si>
    <t>4.2–7.5</t>
  </si>
  <si>
    <t>4.5–7.3</t>
  </si>
  <si>
    <t>3.9–6.8</t>
  </si>
  <si>
    <t>2.9–6.6</t>
  </si>
  <si>
    <t>3.1–5.6</t>
  </si>
  <si>
    <t>3.3–6.0</t>
  </si>
  <si>
    <t>3.0–5.3</t>
  </si>
  <si>
    <t>2.9–5.9</t>
  </si>
  <si>
    <t>2.2–4.2</t>
  </si>
  <si>
    <t>8.0–12.4</t>
  </si>
  <si>
    <t>12.5–17.6</t>
  </si>
  <si>
    <t>11.7–16.2</t>
  </si>
  <si>
    <t>11.0–15.6</t>
  </si>
  <si>
    <t>14.4–19.5</t>
  </si>
  <si>
    <t>9.5–14.0</t>
  </si>
  <si>
    <t>11.0–15.4</t>
  </si>
  <si>
    <t>9.7–13.6</t>
  </si>
  <si>
    <t>10.5–14.3</t>
  </si>
  <si>
    <t>9.0–13.2</t>
  </si>
  <si>
    <t>4.3–5.9</t>
  </si>
  <si>
    <t>4.4–7.8</t>
  </si>
  <si>
    <t>4.2–8.2</t>
  </si>
  <si>
    <t>3.3–4.6</t>
  </si>
  <si>
    <t>3.3–5.9</t>
  </si>
  <si>
    <t>3.3–7.4</t>
  </si>
  <si>
    <t>13.2–15.6</t>
  </si>
  <si>
    <t>10.2–15.4</t>
  </si>
  <si>
    <t>10.2–16.3</t>
  </si>
  <si>
    <t>11.1–13.1</t>
  </si>
  <si>
    <t>7.4–12.1</t>
  </si>
  <si>
    <t>4. Socioeconomic areas are classified according to Socio-Economic Indexes for Areas 2016 (SEIFA 2016), specifically the Index of Relative Socio-Economic Disadvantage (IRSD).</t>
  </si>
  <si>
    <t>5. Remoteness is classified according to the Australian Statistical Geography Standard 2016 Remoteness Areas structure based on postcode of current residence.</t>
  </si>
  <si>
    <t>6. 95% CI = 95% confidence interval. We can be 95% confident that the true value is within this confidence interval.</t>
  </si>
  <si>
    <t>14.9–16.5</t>
  </si>
  <si>
    <t>16.7–19.7</t>
  </si>
  <si>
    <t>21.4–25.5</t>
  </si>
  <si>
    <t>9.3–10.5</t>
  </si>
  <si>
    <t>13.5–16.3</t>
  </si>
  <si>
    <t>14.3–17.6</t>
  </si>
  <si>
    <t>24.6–28.1</t>
  </si>
  <si>
    <t>19.8–23.4</t>
  </si>
  <si>
    <t>15.7–18.6</t>
  </si>
  <si>
    <t>11.0–13.5</t>
  </si>
  <si>
    <t>7.6–9.8</t>
  </si>
  <si>
    <t>17.9–20.7</t>
  </si>
  <si>
    <t>13.0–15.6</t>
  </si>
  <si>
    <t>9.3–11.5</t>
  </si>
  <si>
    <t>7.3–9.5</t>
  </si>
  <si>
    <t>4.4–6.0</t>
  </si>
  <si>
    <t>Chlamydia</t>
  </si>
  <si>
    <t>Syphilis</t>
  </si>
  <si>
    <t>Hepatitis B</t>
  </si>
  <si>
    <t>Hepatitis C</t>
  </si>
  <si>
    <t>HIV</t>
  </si>
  <si>
    <t>0–14</t>
  </si>
  <si>
    <t>30–39</t>
  </si>
  <si>
    <t>40+</t>
  </si>
  <si>
    <t>Year</t>
  </si>
  <si>
    <t>Rate change</t>
  </si>
  <si>
    <t>25.0–33.4</t>
  </si>
  <si>
    <t>40.0–47.5</t>
  </si>
  <si>
    <t>52.5–59.5</t>
  </si>
  <si>
    <t>66.9–72.9</t>
  </si>
  <si>
    <t>71.5–77.9</t>
  </si>
  <si>
    <t>77.7–83.5</t>
  </si>
  <si>
    <t>71.4–78.7</t>
  </si>
  <si>
    <t>58.1–61.1</t>
  </si>
  <si>
    <t>31.1–42.2</t>
  </si>
  <si>
    <t>49.2–56.5</t>
  </si>
  <si>
    <t>61.9–68.1</t>
  </si>
  <si>
    <t>68.1–74.9</t>
  </si>
  <si>
    <t>73.4–79.5</t>
  </si>
  <si>
    <t>80.4–85.6</t>
  </si>
  <si>
    <t>80.7–86.3</t>
  </si>
  <si>
    <t>64.5–67.2</t>
  </si>
  <si>
    <t>56.1–59.4</t>
  </si>
  <si>
    <t>58.1–64.9</t>
  </si>
  <si>
    <t>57.6–64.8</t>
  </si>
  <si>
    <t>58.4–65.1</t>
  </si>
  <si>
    <t>58.1–64.2</t>
  </si>
  <si>
    <t>56.3–62.5</t>
  </si>
  <si>
    <t>55.7–61.9</t>
  </si>
  <si>
    <t>49.9–56.5</t>
  </si>
  <si>
    <t>61.4–64.7</t>
  </si>
  <si>
    <t>65.7–72.1</t>
  </si>
  <si>
    <t>64.6–72.7</t>
  </si>
  <si>
    <t>68.5–74.3</t>
  </si>
  <si>
    <t>64.9–70.8</t>
  </si>
  <si>
    <t>62.4–68.5</t>
  </si>
  <si>
    <t>59.2–65.4</t>
  </si>
  <si>
    <t>52.5–58.5</t>
  </si>
  <si>
    <t>21.7–27.9</t>
  </si>
  <si>
    <t>13.5–19.3</t>
  </si>
  <si>
    <t>22.1–29.9</t>
  </si>
  <si>
    <t>17.8–22.8</t>
  </si>
  <si>
    <t>43.1–54.7</t>
  </si>
  <si>
    <t>60.0–66.2</t>
  </si>
  <si>
    <t>8.1–12.2</t>
  </si>
  <si>
    <t>2.4–3.6</t>
  </si>
  <si>
    <t>1.6–4.7</t>
  </si>
  <si>
    <t>6.0–7.6</t>
  </si>
  <si>
    <t>7.0–10.9</t>
  </si>
  <si>
    <t>6.1–11.0</t>
  </si>
  <si>
    <t>9.9–14.5</t>
  </si>
  <si>
    <t>47.4–54.3</t>
  </si>
  <si>
    <t>38.0–45.3</t>
  </si>
  <si>
    <t>46.8–53.4</t>
  </si>
  <si>
    <t>49.1–55.7</t>
  </si>
  <si>
    <t>52.1–59.3</t>
  </si>
  <si>
    <t>30.5–37.0</t>
  </si>
  <si>
    <t>34.8–41.4</t>
  </si>
  <si>
    <t>38.9–45.0</t>
  </si>
  <si>
    <t>42.3–48.1</t>
  </si>
  <si>
    <t>9.8–14.6</t>
  </si>
  <si>
    <t>13.1–17.9</t>
  </si>
  <si>
    <t>13.8–18.5</t>
  </si>
  <si>
    <t>14.6–19.4</t>
  </si>
  <si>
    <t>19.4–25.2</t>
  </si>
  <si>
    <t>10.5–14.8</t>
  </si>
  <si>
    <t>10.5–14.5</t>
  </si>
  <si>
    <t>13.0–17.3</t>
  </si>
  <si>
    <t>17.5–23.6</t>
  </si>
  <si>
    <t xml:space="preserve">3. Diet drinks include diet soft drink, cordials sports drinks or energy drinks. They are sweetened with artificial sweeteners rather than sugar. This definition includes diet soft drinks in ready to drink alcoholic beverages and excludes non-diet drinks, fruit juice, flavoured milk, water or flavoured water, or coffee/tea flavoured with sugar replacements. </t>
  </si>
  <si>
    <r>
      <t>Socioeconomic area</t>
    </r>
    <r>
      <rPr>
        <b/>
        <vertAlign val="superscript"/>
        <sz val="8"/>
        <color indexed="8"/>
        <rFont val="Arial"/>
        <family val="2"/>
      </rPr>
      <t>(d)</t>
    </r>
  </si>
  <si>
    <t>1 (lowest)</t>
  </si>
  <si>
    <t>5 (highest)</t>
  </si>
  <si>
    <r>
      <rPr>
        <i/>
        <sz val="8"/>
        <color indexed="8"/>
        <rFont val="Arial"/>
        <family val="2"/>
      </rPr>
      <t xml:space="preserve">2. </t>
    </r>
    <r>
      <rPr>
        <sz val="8"/>
        <color indexed="8"/>
        <rFont val="Arial"/>
        <family val="2"/>
      </rPr>
      <t xml:space="preserve">Sugar sweetened drinks includes soft drink, cordials, sports drinks or caffeinated energy drinks and may include soft drinks in ready to drink alcoholic beverages. Fruit juice, flavoured milk, ‘sugar free’ drinks or coffee/hot tea are excluded. </t>
    </r>
  </si>
  <si>
    <t>5. 95% CI = 95% confidence interval. We can be 95% confident that the true value is within this confidence interval.</t>
  </si>
  <si>
    <t>Frequency of sugar sweetened drink consumption</t>
  </si>
  <si>
    <t xml:space="preserve">a) Weekly includes persons who reported consuming sugar sweetened or diet drinks on 1 to 6 days per week and excludes persons who reported consumption on 7 days per week. </t>
  </si>
  <si>
    <t xml:space="preserve">For more information see Appendix 2: Physical measurements in the National Health Survey. </t>
  </si>
  <si>
    <t>a) In 2017-18, 35.4% of respondents aged 18 years and over did not have their waist measured. For these respondents, imputation was used to obtain waist circumference.</t>
  </si>
  <si>
    <t>4. The number of new cases (incidence) and the number of deaths (mortality) for Males and Females may not sum to Persons due to rounding.</t>
  </si>
  <si>
    <t>Further information about the NHMD can be found in the Data quality statement: National Hospital Morbidity Database 2017–18</t>
  </si>
  <si>
    <t>- For more information on the NMD see Deaths data at AIHW.</t>
  </si>
  <si>
    <t>c) Rates are age-standardised to the 2001 Australian standard population.</t>
  </si>
  <si>
    <t xml:space="preserve">a) Does not include fruit juices. </t>
  </si>
  <si>
    <t xml:space="preserve">b) Does not include vegetable juices. </t>
  </si>
  <si>
    <t xml:space="preserve">Number </t>
  </si>
  <si>
    <t>3.3–4.7</t>
  </si>
  <si>
    <t>2.8–5.3</t>
  </si>
  <si>
    <t>2.4–5.6</t>
  </si>
  <si>
    <t>8.6–10.5</t>
  </si>
  <si>
    <t>11.5–16.0</t>
  </si>
  <si>
    <t>9.3–15.3</t>
  </si>
  <si>
    <t>2.1–4.2</t>
  </si>
  <si>
    <t>2.3–4.6</t>
  </si>
  <si>
    <t>2.8–5.0</t>
  </si>
  <si>
    <t>3.3–6.8</t>
  </si>
  <si>
    <t>6.5–10.0</t>
  </si>
  <si>
    <t>8.3–12.0</t>
  </si>
  <si>
    <t>8.5–12.1</t>
  </si>
  <si>
    <t>9.8–14.1</t>
  </si>
  <si>
    <t>45.8–49.2</t>
  </si>
  <si>
    <t>38.7–45.8</t>
  </si>
  <si>
    <t>37.9–46.1</t>
  </si>
  <si>
    <t>54.2–57.5</t>
  </si>
  <si>
    <t>48.5–55.7</t>
  </si>
  <si>
    <t>39.6–46.3</t>
  </si>
  <si>
    <t>42.3–48.9</t>
  </si>
  <si>
    <t>41.2–47.2</t>
  </si>
  <si>
    <t>44.2–50.6</t>
  </si>
  <si>
    <t>46.9–54.1</t>
  </si>
  <si>
    <t>48.4–54.6</t>
  </si>
  <si>
    <t>54.0–60.1</t>
  </si>
  <si>
    <t>54.5–61.0</t>
  </si>
  <si>
    <t>Age group and rank</t>
  </si>
  <si>
    <t>Crude rate</t>
  </si>
  <si>
    <t>Under 1</t>
  </si>
  <si>
    <t>1–14</t>
  </si>
  <si>
    <t>25–44</t>
  </si>
  <si>
    <t>45–64</t>
  </si>
  <si>
    <t>3. Leading causes of death are based on underlying causes of death and classified using an AIHW-modified version of Becker R, Sivli J, Ma Fat, L'Hours A, Laurenti R. 2006. A method for deriving leading causes of death. Bulletin of the World Health Organization 84: 297–304. International Statistical Classification of Diseases and Related Health Problems, 10th revision (ICD-10) codes are presented in parentheses.</t>
  </si>
  <si>
    <r>
      <rPr>
        <i/>
        <sz val="8"/>
        <rFont val="Arial"/>
        <family val="2"/>
      </rPr>
      <t>Sources</t>
    </r>
    <r>
      <rPr>
        <sz val="8"/>
        <rFont val="Arial"/>
        <family val="2"/>
      </rPr>
      <t>:</t>
    </r>
  </si>
  <si>
    <r>
      <rPr>
        <i/>
        <sz val="8"/>
        <rFont val="Arial"/>
        <family val="2"/>
      </rPr>
      <t>Sources</t>
    </r>
    <r>
      <rPr>
        <sz val="8"/>
        <rFont val="Arial"/>
        <family val="2"/>
      </rPr>
      <t>:</t>
    </r>
    <r>
      <rPr>
        <sz val="8"/>
        <color theme="1"/>
        <rFont val="Arial"/>
        <family val="2"/>
      </rPr>
      <t xml:space="preserve"> </t>
    </r>
  </si>
  <si>
    <r>
      <rPr>
        <i/>
        <sz val="8"/>
        <rFont val="Arial"/>
        <family val="2"/>
      </rPr>
      <t>Sources</t>
    </r>
    <r>
      <rPr>
        <sz val="8"/>
        <rFont val="Arial"/>
        <family val="2"/>
      </rPr>
      <t xml:space="preserve">: </t>
    </r>
  </si>
  <si>
    <t>Table S1</t>
  </si>
  <si>
    <t>Table S2</t>
  </si>
  <si>
    <t>Table S3</t>
  </si>
  <si>
    <t>Table S4</t>
  </si>
  <si>
    <t>Table S5</t>
  </si>
  <si>
    <t>Table S6</t>
  </si>
  <si>
    <t>Table S7</t>
  </si>
  <si>
    <t>Table S8</t>
  </si>
  <si>
    <t>Table S10</t>
  </si>
  <si>
    <t>Table S11</t>
  </si>
  <si>
    <t>Table S12</t>
  </si>
  <si>
    <t>Table S13</t>
  </si>
  <si>
    <t>Table S14</t>
  </si>
  <si>
    <t>Table S15</t>
  </si>
  <si>
    <t>Table S16</t>
  </si>
  <si>
    <t>47.5–55.9</t>
  </si>
  <si>
    <t>49.4–55.7</t>
  </si>
  <si>
    <t>14.6–20.0</t>
  </si>
  <si>
    <t>11.4–18.0</t>
  </si>
  <si>
    <t>15.6–22.0</t>
  </si>
  <si>
    <t>16.0–24.4</t>
  </si>
  <si>
    <t>15–17</t>
  </si>
  <si>
    <t>Total 15+</t>
  </si>
  <si>
    <t xml:space="preserve">Total 18+ </t>
  </si>
  <si>
    <t xml:space="preserve">Data sources </t>
  </si>
  <si>
    <t xml:space="preserve">Total increased risk and substantially increased risk </t>
  </si>
  <si>
    <t># Proportion has a high margin of error and should be used with caution.</t>
  </si>
  <si>
    <t xml:space="preserve">n.p not available for publication but included in totals where applicable, unless otherwise indicated. </t>
  </si>
  <si>
    <r>
      <t>Physical Activity guideline</t>
    </r>
    <r>
      <rPr>
        <b/>
        <vertAlign val="superscript"/>
        <sz val="8"/>
        <color theme="1"/>
        <rFont val="Arial"/>
        <family val="2"/>
      </rPr>
      <t>(a)(b)</t>
    </r>
  </si>
  <si>
    <r>
      <t>Strength based activity guideline</t>
    </r>
    <r>
      <rPr>
        <b/>
        <vertAlign val="superscript"/>
        <sz val="8"/>
        <color theme="1"/>
        <rFont val="Arial"/>
        <family val="2"/>
      </rPr>
      <t>(c)</t>
    </r>
  </si>
  <si>
    <t>Both guidelines</t>
  </si>
  <si>
    <r>
      <t>Met fruit intake guideline</t>
    </r>
    <r>
      <rPr>
        <b/>
        <vertAlign val="superscript"/>
        <sz val="8"/>
        <color indexed="8"/>
        <rFont val="Arial"/>
        <family val="2"/>
      </rPr>
      <t>(a)</t>
    </r>
  </si>
  <si>
    <r>
      <t>Met vegetable intake guideline</t>
    </r>
    <r>
      <rPr>
        <b/>
        <vertAlign val="superscript"/>
        <sz val="8"/>
        <color indexed="8"/>
        <rFont val="Arial"/>
        <family val="2"/>
      </rPr>
      <t>(b)</t>
    </r>
  </si>
  <si>
    <t xml:space="preserve">Rate per 100,000 population </t>
  </si>
  <si>
    <t>ASR age-standardised rate</t>
  </si>
  <si>
    <t>Incidence</t>
  </si>
  <si>
    <t xml:space="preserve">Mortality </t>
  </si>
  <si>
    <t>Rate per 1,000 population</t>
  </si>
  <si>
    <t xml:space="preserve">Females </t>
  </si>
  <si>
    <t xml:space="preserve">2.  Alcohol consumption risk levels based on 2009 National Health and Medical Research Council (NHMRC) guidelines for the consumption of alcohol. Lifetime alcohol risk is defined as drinking no more than two standard drinks on any day and single occasion risk is defined as drinking no more than four standard drinks on a single occasion. </t>
  </si>
  <si>
    <t>Number of selected chronic conditions</t>
  </si>
  <si>
    <r>
      <t>The mortality data used in this report were provided by the Registries of Births, Deaths and Marriages, the Coroners and the National Coroners Information System and coded by the Australian Bureau of Statistics (ABS). These data are maintained at the Australian Institute of Health and Welfare (AIHW) in the National Mortality Database (NMD). Registration of deaths is the responsibility of the state and territory Registrars of Births, Deaths and Marriages. Analysis is by year of registration of death.</t>
    </r>
    <r>
      <rPr>
        <sz val="11"/>
        <color rgb="FF00B050"/>
        <rFont val="Arial"/>
        <family val="2"/>
      </rPr>
      <t xml:space="preserve"> </t>
    </r>
  </si>
  <si>
    <r>
      <t xml:space="preserve">The data quality statements underpinning the AIHW NMD </t>
    </r>
    <r>
      <rPr>
        <sz val="11"/>
        <color rgb="FF000000"/>
        <rFont val="Arial"/>
        <family val="2"/>
      </rPr>
      <t xml:space="preserve">can be found in the following </t>
    </r>
    <r>
      <rPr>
        <sz val="11"/>
        <color theme="1"/>
        <rFont val="Arial"/>
        <family val="2"/>
      </rPr>
      <t>ABS publications:</t>
    </r>
  </si>
  <si>
    <t>a) For 18–64 year olds, met guidelines is captured here as completing 150 minutes of moderate to vigorous activity (where vigorous activity is multiplied by 2) on 5 days or more per week.</t>
  </si>
  <si>
    <t>#0.8</t>
  </si>
  <si>
    <t>#0.3</t>
  </si>
  <si>
    <t>Remoteness area</t>
  </si>
  <si>
    <t>Total 18 years and over</t>
  </si>
  <si>
    <t>11.2-23.6</t>
  </si>
  <si>
    <t>22.7-30.3</t>
  </si>
  <si>
    <t>27.2-35.8</t>
  </si>
  <si>
    <t>27.7-36.3</t>
  </si>
  <si>
    <t>25.1-33.7</t>
  </si>
  <si>
    <t>24.1-27.3</t>
  </si>
  <si>
    <t>25.2-28.4</t>
  </si>
  <si>
    <t>19.0-28.2</t>
  </si>
  <si>
    <t>18.0-30.2</t>
  </si>
  <si>
    <t>6.3-12.3</t>
  </si>
  <si>
    <t>12.2-19.6</t>
  </si>
  <si>
    <t>14.6-21.8</t>
  </si>
  <si>
    <t>10.4-17.4</t>
  </si>
  <si>
    <t>9.1-20.1</t>
  </si>
  <si>
    <t>11.6-14.2</t>
  </si>
  <si>
    <t>5.4-15.0</t>
  </si>
  <si>
    <t>8.0-15.2</t>
  </si>
  <si>
    <t>12.0-14.8</t>
  </si>
  <si>
    <t>16.3-30.7</t>
  </si>
  <si>
    <t>23.5-34.5</t>
  </si>
  <si>
    <t>21.9-31.1</t>
  </si>
  <si>
    <t>20.3-28.9</t>
  </si>
  <si>
    <t>15.9-23.9</t>
  </si>
  <si>
    <t>6.4-15.4</t>
  </si>
  <si>
    <t>20.6-24.4</t>
  </si>
  <si>
    <t>21.5-25.5</t>
  </si>
  <si>
    <t>20.0-27.6</t>
  </si>
  <si>
    <t>Q2</t>
  </si>
  <si>
    <t>Q3</t>
  </si>
  <si>
    <t>Q4</t>
  </si>
  <si>
    <t>Source:</t>
  </si>
  <si>
    <t>0-1</t>
  </si>
  <si>
    <t>Per cent</t>
  </si>
  <si>
    <t>Certain conditions originating in the perinatal period, congenital malformations, deformations and chromosomal abnormalities (P00–P96, Q00–Q99 excl. P28.5)</t>
  </si>
  <si>
    <t>Other ill-defined causes (R00–R94, R96–R99, I46.9, I95.9, I99, J96.0, J96.9, P28.5)</t>
  </si>
  <si>
    <t>Sudden infant death syndrome (SIDS) (R95)</t>
  </si>
  <si>
    <t xml:space="preserve">All causes                                                                                                                                                                              </t>
  </si>
  <si>
    <t>Land transport accidents (V01–V89)</t>
  </si>
  <si>
    <t>Brain cancer (C71)</t>
  </si>
  <si>
    <t>Suicide (X60–X84, Y87.0)</t>
  </si>
  <si>
    <t>Accidental poisoning (X40–X49)</t>
  </si>
  <si>
    <t>Breast cancer (C50)</t>
  </si>
  <si>
    <t>Coronary heart disease (I20–I25)</t>
  </si>
  <si>
    <t>Lung cancer (C33, C34)</t>
  </si>
  <si>
    <t>Chronic obstructive pulmonary disease (COPD) (J40–J44)</t>
  </si>
  <si>
    <t>Dementia including Alzheimer's disease (F01, F03, G30)</t>
  </si>
  <si>
    <t>Cerebrovascular disease (I60–I69)</t>
  </si>
  <si>
    <t>1. Year refers to year of registration of death. Deaths registered in 2019 are based on the revised version, deaths registered in 2020 and 2021 are based on the preliminary version. Revised and preliminary versions are subject to further revision by the Australian Bureau of Statistics.</t>
  </si>
  <si>
    <t>2. Rates are calculated using the sum of estimated resident populations at 30 June for each year. Estimated resident populations for 2020 and 2021 have been impacted by COVID-19. Rates are expressed as deaths per 100,000 population.</t>
  </si>
  <si>
    <r>
      <t>4. Data by causes of death have been adjusted for Victorian additional death registrations in 2019. A time series adjustment has been applied to causes of death to enable a more accurate comparison of mortality over time. When the time series adjustment is applied, deaths are presented in the year in which they were registered (i.e. removed from 2019 and added to 2017 or 2018). For more detail please refer to</t>
    </r>
    <r>
      <rPr>
        <i/>
        <sz val="8"/>
        <rFont val="Arial"/>
        <family val="2"/>
      </rPr>
      <t xml:space="preserve"> Technical note: Victorian additional registrations and time series adjustments </t>
    </r>
    <r>
      <rPr>
        <sz val="8"/>
        <rFont val="Arial"/>
        <family val="2"/>
      </rPr>
      <t xml:space="preserve">in </t>
    </r>
    <r>
      <rPr>
        <i/>
        <sz val="8"/>
        <rFont val="Arial"/>
        <family val="2"/>
      </rPr>
      <t xml:space="preserve">Causes of death, Australia, 2019 </t>
    </r>
    <r>
      <rPr>
        <sz val="8"/>
        <rFont val="Arial"/>
        <family val="2"/>
      </rPr>
      <t>(ABS Cat. no. 3303.0).</t>
    </r>
  </si>
  <si>
    <t xml:space="preserve">5. Per cents have been calculated using the adjusted number of deaths due to all causes (see note 3) as the denominator, however the number of deaths and age-specific rates due to all causes presented in the table have not been adjusted. </t>
  </si>
  <si>
    <t>Number</t>
  </si>
  <si>
    <t>ASR</t>
  </si>
  <si>
    <t>Prostate cancer (C61)</t>
  </si>
  <si>
    <t>Diabetes (E10–E14)</t>
  </si>
  <si>
    <t>Colorectal cancer (C18–C20, C26.0)</t>
  </si>
  <si>
    <t>Accidental falls (W00–W19)</t>
  </si>
  <si>
    <t>Heart failure and complications and ill-defined heart disease (I50–I51)</t>
  </si>
  <si>
    <t>1. Year refers to year of registration of death. Deaths registered in 2021 are based on the preliminary version of cause of death data and are subject to further revision by the Australian Bureau of Statistics (ABS).</t>
  </si>
  <si>
    <t>2. Rates are calculated using the sum of estimated resident populations at 30 June for each year. Estimated resident populations for 2020 and 2021 have been impacted by COVID-19. Age-standardised rates (ASRs) are directly standardised to the Australian estimated resident population at 30 June 2001. Rates are expressed as deaths per 100,000 population.</t>
  </si>
  <si>
    <t>Table S14: Leading 10 underlying causes of death, number and per cent, by sex, 2021</t>
  </si>
  <si>
    <t>48.1-52.9</t>
  </si>
  <si>
    <t>41.4-45.6</t>
  </si>
  <si>
    <t>26.5-31.1</t>
  </si>
  <si>
    <t>29.1-32.9</t>
  </si>
  <si>
    <t>12.1-14.9</t>
  </si>
  <si>
    <t>13.1-15.9</t>
  </si>
  <si>
    <t>9.6-12.2</t>
  </si>
  <si>
    <t>6.4-8.0</t>
  </si>
  <si>
    <t>85-90</t>
  </si>
  <si>
    <t>90+</t>
  </si>
  <si>
    <t xml:space="preserve">Source: </t>
  </si>
  <si>
    <t>Total 65+</t>
  </si>
  <si>
    <t>37.9-48.1</t>
  </si>
  <si>
    <t>35.5-46.5</t>
  </si>
  <si>
    <t>39.8-48.6</t>
  </si>
  <si>
    <t>39.3-50.9</t>
  </si>
  <si>
    <t>48.3-61.5</t>
  </si>
  <si>
    <t>38.9-43.5</t>
  </si>
  <si>
    <t>45.2-53.6</t>
  </si>
  <si>
    <t>31.1-47.5</t>
  </si>
  <si>
    <t>25.9-34.7</t>
  </si>
  <si>
    <t>38.7-47.3</t>
  </si>
  <si>
    <t>36.6-45.4</t>
  </si>
  <si>
    <t>39.4-50.8</t>
  </si>
  <si>
    <t>39.1-43.3</t>
  </si>
  <si>
    <t>54.5-64.1</t>
  </si>
  <si>
    <t>32.0-46.6</t>
  </si>
  <si>
    <t>26.0-34.6</t>
  </si>
  <si>
    <t>39.0-49.4</t>
  </si>
  <si>
    <t>2.9-6.3</t>
  </si>
  <si>
    <t>5.1-11.5</t>
  </si>
  <si>
    <t>8.9-21.5</t>
  </si>
  <si>
    <t>10.6-17.6</t>
  </si>
  <si>
    <t>9.1-14.1</t>
  </si>
  <si>
    <t>10.5-16.9</t>
  </si>
  <si>
    <t>8.5-13.9</t>
  </si>
  <si>
    <t>8.1-16.3</t>
  </si>
  <si>
    <t>7.3-15.5</t>
  </si>
  <si>
    <t>11.3-14.3</t>
  </si>
  <si>
    <t>8.6-14.6</t>
  </si>
  <si>
    <t>1.8-5.6</t>
  </si>
  <si>
    <t>2.7-6.5</t>
  </si>
  <si>
    <t>1.1-4.3</t>
  </si>
  <si>
    <t>5.6-12.2</t>
  </si>
  <si>
    <t>3.6-5.2</t>
  </si>
  <si>
    <t>6.6-11.2</t>
  </si>
  <si>
    <t>0.3-4.3</t>
  </si>
  <si>
    <t>2.1-5.5</t>
  </si>
  <si>
    <t>0.5-2.9</t>
  </si>
  <si>
    <t>0.7-3.3</t>
  </si>
  <si>
    <t>3.6-9.4</t>
  </si>
  <si>
    <t>2.5-8.9</t>
  </si>
  <si>
    <t>2.3-3.5</t>
  </si>
  <si>
    <t>4.3-15.9</t>
  </si>
  <si>
    <t>5.9-10.3</t>
  </si>
  <si>
    <t>6.1-11.1</t>
  </si>
  <si>
    <t>6.1-10.3</t>
  </si>
  <si>
    <t>5.8-11.8</t>
  </si>
  <si>
    <t>5.6-13.4</t>
  </si>
  <si>
    <t>7.7-10.3</t>
  </si>
  <si>
    <t>1.0-3.4</t>
  </si>
  <si>
    <t>4.0-8.2</t>
  </si>
  <si>
    <t>7.6-13.0</t>
  </si>
  <si>
    <t>6.0-12.0</t>
  </si>
  <si>
    <t>5.9-15.9</t>
  </si>
  <si>
    <t>6.5-12.5</t>
  </si>
  <si>
    <t>5.9-11.1</t>
  </si>
  <si>
    <t>6.5-13.1</t>
  </si>
  <si>
    <t>7.5-14.7</t>
  </si>
  <si>
    <t>3.5-8.5</t>
  </si>
  <si>
    <t>0.7-6.3</t>
  </si>
  <si>
    <t>7.4-9.6</t>
  </si>
  <si>
    <t>5.1-11.7</t>
  </si>
  <si>
    <t>4.5-8.9</t>
  </si>
  <si>
    <t>2.7-7.3</t>
  </si>
  <si>
    <t>-0.3-6.1</t>
  </si>
  <si>
    <t>-0.4-4.6</t>
  </si>
  <si>
    <t>3.7-5.3</t>
  </si>
  <si>
    <t>0.2-3.4</t>
  </si>
  <si>
    <t>1.6-6.0</t>
  </si>
  <si>
    <t>0.0-3.8</t>
  </si>
  <si>
    <t>0.5-10.5</t>
  </si>
  <si>
    <t>4.7-10.7</t>
  </si>
  <si>
    <t>4.7-9.9</t>
  </si>
  <si>
    <t>3.9-11.1</t>
  </si>
  <si>
    <t>6.9-11.9</t>
  </si>
  <si>
    <t>6.6-12.2</t>
  </si>
  <si>
    <t>6.9-9.1</t>
  </si>
  <si>
    <t>8.1-11.5</t>
  </si>
  <si>
    <t>2.7-7.1</t>
  </si>
  <si>
    <t>4.7-9.3</t>
  </si>
  <si>
    <t>4.2-8.6</t>
  </si>
  <si>
    <t>5.8-12.2</t>
  </si>
  <si>
    <t>2.8-7.8</t>
  </si>
  <si>
    <t>5.3-6.9</t>
  </si>
  <si>
    <t>2.9-6.1</t>
  </si>
  <si>
    <t>2.4-9.0</t>
  </si>
  <si>
    <t>1.0-4.8</t>
  </si>
  <si>
    <t>6.0-12.6</t>
  </si>
  <si>
    <t>20–29</t>
  </si>
  <si>
    <t>40–49</t>
  </si>
  <si>
    <t>50+</t>
  </si>
  <si>
    <t>a) HIV rates are for 2021</t>
  </si>
  <si>
    <t>National Notifiable Disease Surveillance System</t>
  </si>
  <si>
    <t>The Kirby Institute</t>
  </si>
  <si>
    <t>Overweight but not obese</t>
  </si>
  <si>
    <t>85 years and over</t>
  </si>
  <si>
    <t># Proportion has a margin of error of greater than 10 percentage points which should be considered when using this information.</t>
  </si>
  <si>
    <t>Notes:</t>
  </si>
  <si>
    <t>1. Overweight and obese classification is derived from measured height and weight. In 2017–18, 33.8% of respondents aged 18 years and over did not have their height, weight or both measured. For these respondents, imputation was used to obtain height, weight and BMI scores. For more information, see National Health Survey: First Results methodology, 2017–18 (ABS 2018b).</t>
  </si>
  <si>
    <t>2. 95% CI = 95% confidence interval. We can be 95% confident that the confidence interval contains the true value.</t>
  </si>
  <si>
    <t>3. Estimates use published ABS data that has been randomly adjusted to avoid the release of confidential data. Discrepancies may occur between sums of the component items and totals.</t>
  </si>
  <si>
    <t>Table S4: Proportion of overweight and obese persons aged 18 and over, by age group and sex, 2017–18</t>
  </si>
  <si>
    <t>Proportion of overweight and obese persons aged 18 and over, by age group and sex, 2017–18</t>
  </si>
  <si>
    <t>71.7–75.0</t>
  </si>
  <si>
    <t>41.2–44.7</t>
  </si>
  <si>
    <t>55.3–58.6</t>
  </si>
  <si>
    <t>27.8–31.3</t>
  </si>
  <si>
    <t>25.9–28.8</t>
  </si>
  <si>
    <t>Inner regional areas</t>
  </si>
  <si>
    <t>75.6–80.7</t>
  </si>
  <si>
    <t>36.0–43.3</t>
  </si>
  <si>
    <t>34.9–41.2</t>
  </si>
  <si>
    <t>61.3–67.3</t>
  </si>
  <si>
    <t>26.2–31.3</t>
  </si>
  <si>
    <t>32.4–38.7</t>
  </si>
  <si>
    <t>Outer regional and remote areas</t>
  </si>
  <si>
    <t>70.4–79.7</t>
  </si>
  <si>
    <t>36.3–44.6</t>
  </si>
  <si>
    <t>28.9–39.2</t>
  </si>
  <si>
    <t>61.0–69.9</t>
  </si>
  <si>
    <t>25.8–33.5</t>
  </si>
  <si>
    <t>32.5–39.1</t>
  </si>
  <si>
    <t>Socioeconomic areas</t>
  </si>
  <si>
    <t>Group 1 (most disadvantaged areas)</t>
  </si>
  <si>
    <t>75.3–77.7</t>
  </si>
  <si>
    <t>37.6–41.8</t>
  </si>
  <si>
    <t>33.9–40.5</t>
  </si>
  <si>
    <t>63.4–69.2</t>
  </si>
  <si>
    <t>35.2–41.1</t>
  </si>
  <si>
    <t>Group 2</t>
  </si>
  <si>
    <t>72.1–78.7</t>
  </si>
  <si>
    <t>35.4–42.9</t>
  </si>
  <si>
    <t>32.5–39.8</t>
  </si>
  <si>
    <t>59.4–62.9</t>
  </si>
  <si>
    <t>25.8–30.4</t>
  </si>
  <si>
    <t>30.1–35.7</t>
  </si>
  <si>
    <t>Group 3</t>
  </si>
  <si>
    <t>71.8–73.7</t>
  </si>
  <si>
    <t>38.8–43.5</t>
  </si>
  <si>
    <t>29.2–33.8</t>
  </si>
  <si>
    <t>58.0–62.8</t>
  </si>
  <si>
    <t>28.5–33.1</t>
  </si>
  <si>
    <t>26.0–33.2</t>
  </si>
  <si>
    <t>Group 4</t>
  </si>
  <si>
    <t>73.3–74.3</t>
  </si>
  <si>
    <t>40.5–45.3</t>
  </si>
  <si>
    <t>27.7–34.1</t>
  </si>
  <si>
    <t>55.5–60.1</t>
  </si>
  <si>
    <t>28.2–34.1</t>
  </si>
  <si>
    <t>24.5–29.2</t>
  </si>
  <si>
    <t>Group 5 (least disadvantaged areas)</t>
  </si>
  <si>
    <t>70.6–75.0</t>
  </si>
  <si>
    <t>44.8–49.0</t>
  </si>
  <si>
    <t>22.7–28.7</t>
  </si>
  <si>
    <t>47.1–52.1</t>
  </si>
  <si>
    <t>25.2–30.2</t>
  </si>
  <si>
    <t>18.6–24.9</t>
  </si>
  <si>
    <t>(a) Proportions have been age standardised to the 2001 Australian population to account for differences in the age structure of the population over time. Totals are age standardised (10 year age groups up to age group 75+ years).</t>
  </si>
  <si>
    <t>1. Overweight and obese classification is derived from measured height and weight. In 2017–18, 33.8% of respondents aged 18 years and over did not have their height, weight or both measured. For these respondents, imputation was used to obtain height, weight and BMI scores. For more information, see National Health Survey: First Results methodology, 2017–18 (ABS 2018a).</t>
  </si>
  <si>
    <t>2. Remoteness area uses Australian Statistical Geography Standard Remoteness Structure, 2016 (ABS 2018b). Excludes very remote areas of Australia.</t>
  </si>
  <si>
    <t>3. Socioeconomic areas are quintiles of Socio-Economic Indexes for Areas 2016 (SEIFA 2016), specifically the Index of Relative Socio-Economic Disadvantage (IRSD) (ABS 2018c). Lower socioeconomic areas have greater overall levels of disadvantage.</t>
  </si>
  <si>
    <t>4. 95% CI = 95% confidence interval. We can be 95% confident that the confidence interval contains the true value.</t>
  </si>
  <si>
    <t>5. Estimates use published ABS data that has been randomly adjusted to avoid the release of confidential data. Discrepancies may occur between sums of the component items and totals.</t>
  </si>
  <si>
    <t>Age-standardised and crude proportions of overweight and obese persons aged 18 and over, by remoteness area, socioeconomic areas and sex, 2017–18</t>
  </si>
  <si>
    <r>
      <t>Table S6:  Waist circumference risk categories, people aged 18 years and over,  by sex and population groups, 2017–18</t>
    </r>
    <r>
      <rPr>
        <b/>
        <vertAlign val="superscript"/>
        <sz val="12"/>
        <color rgb="FF003A56"/>
        <rFont val="Arial"/>
        <family val="2"/>
      </rPr>
      <t>(a)</t>
    </r>
  </si>
  <si>
    <t xml:space="preserve">Alcohol drink consumption by age group and number of drinks (percentage) against the recommended guideline, 2020–21. </t>
  </si>
  <si>
    <t>Hospitalisations per 1,000 population, by sex and age group, all hospitals, 2020–21</t>
  </si>
  <si>
    <t>64.1-78.3</t>
  </si>
  <si>
    <t>63.0-72.8</t>
  </si>
  <si>
    <t>65.1-73.4</t>
  </si>
  <si>
    <t>62.9-73.3</t>
  </si>
  <si>
    <t>61.8-71.7</t>
  </si>
  <si>
    <t>66.1-70.9</t>
  </si>
  <si>
    <t>50.0-56.4</t>
  </si>
  <si>
    <t>63.3-67.3</t>
  </si>
  <si>
    <t>63.8-76.8</t>
  </si>
  <si>
    <t>57.2-67.8</t>
  </si>
  <si>
    <t>56.4-63.0</t>
  </si>
  <si>
    <t>52.9-60.2</t>
  </si>
  <si>
    <t>57.3-65.7</t>
  </si>
  <si>
    <t>59.6-63.4</t>
  </si>
  <si>
    <t>43.6-51.2</t>
  </si>
  <si>
    <t>56.9-60.1</t>
  </si>
  <si>
    <t>35.4-52.8</t>
  </si>
  <si>
    <t>26.6-36.3</t>
  </si>
  <si>
    <t>26.8-35.5</t>
  </si>
  <si>
    <t>22.2-33.0</t>
  </si>
  <si>
    <t>16.6-24.4</t>
  </si>
  <si>
    <t>27.4-33.3</t>
  </si>
  <si>
    <t>25.8-30.7</t>
  </si>
  <si>
    <t>16.2-23.2</t>
  </si>
  <si>
    <t>24.6-41.6</t>
  </si>
  <si>
    <t>27.5-33.8</t>
  </si>
  <si>
    <t>19.7-27.2</t>
  </si>
  <si>
    <t>17.9-24.3</t>
  </si>
  <si>
    <t>20.2-26.8</t>
  </si>
  <si>
    <t>23.9-28.1</t>
  </si>
  <si>
    <t>16.6-21.9</t>
  </si>
  <si>
    <t>22.9-26.3</t>
  </si>
  <si>
    <t>30.6-47.4</t>
  </si>
  <si>
    <t>24.0-33.8</t>
  </si>
  <si>
    <t>23.7-32.4</t>
  </si>
  <si>
    <t>18.6-27.8</t>
  </si>
  <si>
    <t>14.6-22.1</t>
  </si>
  <si>
    <t>24.2-29.9</t>
  </si>
  <si>
    <t>9.4-15.1</t>
  </si>
  <si>
    <t>21.7-26.4</t>
  </si>
  <si>
    <t>22.0-37.2</t>
  </si>
  <si>
    <t>22.4-29.0</t>
  </si>
  <si>
    <t>16.6-23.4</t>
  </si>
  <si>
    <t>14.7-21.1</t>
  </si>
  <si>
    <t>16.4-23.1</t>
  </si>
  <si>
    <t>20.2-24.2</t>
  </si>
  <si>
    <t>12.0-17.3</t>
  </si>
  <si>
    <t>18.9-22.2</t>
  </si>
  <si>
    <t>0.5-4.3</t>
  </si>
  <si>
    <t>6.7-10.9</t>
  </si>
  <si>
    <t>11.6-15.6</t>
  </si>
  <si>
    <t>10.8-14.6</t>
  </si>
  <si>
    <t>11.8-16</t>
  </si>
  <si>
    <t>14.4-18.2</t>
  </si>
  <si>
    <t>7.6-10.8</t>
  </si>
  <si>
    <t>2.4-5.2</t>
  </si>
  <si>
    <t>10.8-12.4</t>
  </si>
  <si>
    <t>11.2-12.8</t>
  </si>
  <si>
    <t>4.1-7.3</t>
  </si>
  <si>
    <t>6.5-9.5</t>
  </si>
  <si>
    <t>8-11.4</t>
  </si>
  <si>
    <t>8.6-11.4</t>
  </si>
  <si>
    <t>10-13</t>
  </si>
  <si>
    <t>5.7-8.1</t>
  </si>
  <si>
    <t>1.3-3.3</t>
  </si>
  <si>
    <t>7.4-8.6</t>
  </si>
  <si>
    <t>7.6-8.8</t>
  </si>
  <si>
    <t>1.1-3.3</t>
  </si>
  <si>
    <t>1.5-3.1</t>
  </si>
  <si>
    <t>0.4-1.6</t>
  </si>
  <si>
    <t>0.1-0.9</t>
  </si>
  <si>
    <t>0.3-1.1</t>
  </si>
  <si>
    <t>1.0-1.8</t>
  </si>
  <si>
    <t>0.3-2.9</t>
  </si>
  <si>
    <t>0.5-1.7</t>
  </si>
  <si>
    <t>0.6-1.6</t>
  </si>
  <si>
    <t>0.2-1.2</t>
  </si>
  <si>
    <t>0.4-1.2</t>
  </si>
  <si>
    <t>0.7-1.1</t>
  </si>
  <si>
    <t>0.0-0.0</t>
  </si>
  <si>
    <t>National Health Survey, 2020–21</t>
  </si>
  <si>
    <r>
      <t xml:space="preserve">The </t>
    </r>
    <r>
      <rPr>
        <sz val="11"/>
        <color indexed="8"/>
        <rFont val="Arial"/>
        <family val="2"/>
      </rPr>
      <t>2020–21 National Health Survey (NHS)</t>
    </r>
    <r>
      <rPr>
        <sz val="11"/>
        <color theme="1"/>
        <rFont val="Arial"/>
        <family val="2"/>
      </rPr>
      <t xml:space="preserve"> was conducted by the Australian Bureau of Statistics (ABS) to obtain national information on the health status of Australians, their use of health services and facilities, and health-related aspects of their lifestyle. </t>
    </r>
  </si>
  <si>
    <t>National Morbidity Database</t>
  </si>
  <si>
    <t xml:space="preserve">The AIHW National Morbidity Database (NMD) is a compilation of episode-level records from admitted patient morbidity data collection systems in Australian hospitals. Reporting to the NMD occurs at the end of a person’s admitted episode of care (separation or hospitalisation) and is based on the clinical documentation for that hospitalisation. The NMD is based on the Admitted Patient Care National Minimum Data Set (APC NMDS). It records information on admitted patient care (hospitalisations) in essentially all hospitals in Australia, and includes demographic, administrative and length-of-stay data, as well as data on the diagnoses of the patients, the procedures they underwent in hospital and external causes of injury and poisoning.
The hospital separations data do not include episodes of non-admitted patient care given in outpatient clinics or emergency departments. Patients in these settings may be admitted subsequently, with the care provided to them as admitted patients being included in the NMD. </t>
  </si>
  <si>
    <t>The National Notifiable Diseases Surveillance System (NNDSS) coordinates data on 71 diseases that present a risk to public health in Australia. The NNDSS coordinates the national surveillance of diseases on the National Notifiable Disease List. This helps identify trends in diseases, assess the impact of disease control programs and develop policies to reduce the impact of these diseases in Australia.</t>
  </si>
  <si>
    <t xml:space="preserve">Furher information on the NNDSS can be found at the Australian Government Department of Healt hand Aged Care </t>
  </si>
  <si>
    <t xml:space="preserve">The Kirby Institute collates national data for HIV, viral hepatitis, and sexually transmissible infections in Australia from many sources. These data are used as a reference for organisations and individuals interested in the occurrence and epidemiology of these infectious diseases in Australia. The Annual Surveillance Report has been published each year since 1997. The report provides a comprehensive analysis of HIV, viral hepatitis and sexually transmissible infections in Australia and includes estimates of incidence and prevalence of HIV and viral hepatitis, by demographic and risk groups, patterns of treatment for HIV and viral hepatitis infection, and behavioural risk factors for HIV and hepatitis C infection. </t>
  </si>
  <si>
    <t>Further information on the Kirby Institute and the annual reports at the UNSW Kirby Institute</t>
  </si>
  <si>
    <t>The Australian Institute of Health and Welfare (AIHW) reports provide cancer statistics and data visualisations to inform understandings of cancer in Australia and how rates have been changing over time. The report includes a range of statistics on cancer survival, incidence, mortality and risk for many different cancers with data spanning back to 1982 for cancer incidence and 1971 for cancer mortality.</t>
  </si>
  <si>
    <t>Further information on Australian cancer data can be found at the AIHW website</t>
  </si>
  <si>
    <t>Australian Institute of Health and Welfare (AIHW) Cancer Data in Australia</t>
  </si>
  <si>
    <t>Outer regional and remote</t>
  </si>
  <si>
    <t>24.6–31.2</t>
  </si>
  <si>
    <t>32.5–40.9</t>
  </si>
  <si>
    <t>20.0–22.9</t>
  </si>
  <si>
    <t>7.3–9.2</t>
  </si>
  <si>
    <t>8.1–12.3</t>
  </si>
  <si>
    <t>9.1–14.8</t>
  </si>
  <si>
    <t>0-4</t>
  </si>
  <si>
    <t>5-14</t>
  </si>
  <si>
    <t>15-24</t>
  </si>
  <si>
    <t>25-34</t>
  </si>
  <si>
    <t>35-44</t>
  </si>
  <si>
    <t>45-54</t>
  </si>
  <si>
    <t>55-64</t>
  </si>
  <si>
    <t>65-74</t>
  </si>
  <si>
    <t>75-84</t>
  </si>
  <si>
    <t>Number of services per person</t>
  </si>
  <si>
    <t>Estimated people with dementia</t>
  </si>
  <si>
    <t>30–59</t>
  </si>
  <si>
    <t>85–89</t>
  </si>
  <si>
    <t xml:space="preserve">Notes: </t>
  </si>
  <si>
    <t>1. Prevalence rates were applied to the 2022 June 30 estimated resident population (ERP)</t>
  </si>
  <si>
    <t>2. 'Total' prevalence rates were calculated for all ages, not just those aged 30 years or over.</t>
  </si>
  <si>
    <t>Rate per 1,000</t>
  </si>
  <si>
    <t xml:space="preserve">Table S7: Prevalence of dementia in 2022: estimated number and rate, by age and sex </t>
  </si>
  <si>
    <t>Table S11: Estimated age-specific incidence and mortality rates from all cancers, by sex and age-group, 2022</t>
  </si>
  <si>
    <t>Table S18: Number of weight loss surgeries, by sex and age group, 2020–21</t>
  </si>
  <si>
    <t>Number of weight loss surgeries</t>
  </si>
  <si>
    <t>2015-16</t>
  </si>
  <si>
    <t>2016-17</t>
  </si>
  <si>
    <t>2017-18</t>
  </si>
  <si>
    <t>2018-19</t>
  </si>
  <si>
    <t>2019-20</t>
  </si>
  <si>
    <t>2020-21</t>
  </si>
  <si>
    <t>Table S18</t>
  </si>
  <si>
    <t>Table S1:  Proportion of people aged 18 and over meeting the physical activity guidelines (including exercise at work), by sex (2020–21) and population groups (2017–18)</t>
  </si>
  <si>
    <t>48.8–52.5</t>
  </si>
  <si>
    <t>40.0–43.4</t>
  </si>
  <si>
    <t>24.9–27.9</t>
  </si>
  <si>
    <t>21.2–24.0</t>
  </si>
  <si>
    <t>16.5–19.3</t>
  </si>
  <si>
    <t>13.0–15.4</t>
  </si>
  <si>
    <t>46.7–53.9</t>
  </si>
  <si>
    <t>39.3–46.7</t>
  </si>
  <si>
    <t>16.7–22.3</t>
  </si>
  <si>
    <t>19.3–25.0</t>
  </si>
  <si>
    <t>10.8–15.4</t>
  </si>
  <si>
    <t>13.0–17.9</t>
  </si>
  <si>
    <t>46.1–54.4</t>
  </si>
  <si>
    <t>35.6–43.8</t>
  </si>
  <si>
    <t>16.9–24.5</t>
  </si>
  <si>
    <t>13.6–20.1</t>
  </si>
  <si>
    <t>11.2–18.0</t>
  </si>
  <si>
    <t>9.1–14.9</t>
  </si>
  <si>
    <r>
      <t>Socioeconomic area</t>
    </r>
    <r>
      <rPr>
        <b/>
        <vertAlign val="superscript"/>
        <sz val="8"/>
        <color indexed="8"/>
        <rFont val="Arial"/>
        <family val="2"/>
      </rPr>
      <t>(d)(e)</t>
    </r>
  </si>
  <si>
    <r>
      <t>Remoteness</t>
    </r>
    <r>
      <rPr>
        <b/>
        <vertAlign val="superscript"/>
        <sz val="8"/>
        <color indexed="8"/>
        <rFont val="Arial"/>
        <family val="2"/>
      </rPr>
      <t>(d)(e)</t>
    </r>
  </si>
  <si>
    <t>2. Physical activity includes exercise at work, walking for fitness, recreation or sport, walking to get to or from places; moderate exercise; and vigorous exercise (multiplied by 2) recorded in the week prior to interview. Data does not include people for whom this measures was not known or not applicable.</t>
  </si>
  <si>
    <t>#1.2</t>
  </si>
  <si>
    <t>n.p</t>
  </si>
  <si>
    <t>Table S2: Proportion of people aged 18 and over meeting the fruit and vegetable intake guidelines, by sex (2020–21) and population groups (2017–18)</t>
  </si>
  <si>
    <r>
      <t>Remoteness</t>
    </r>
    <r>
      <rPr>
        <b/>
        <vertAlign val="superscript"/>
        <sz val="8"/>
        <color rgb="FF000000"/>
        <rFont val="Arial"/>
        <family val="2"/>
      </rPr>
      <t xml:space="preserve">(c)(e) </t>
    </r>
  </si>
  <si>
    <r>
      <t>Socioeconomic area</t>
    </r>
    <r>
      <rPr>
        <b/>
        <vertAlign val="superscript"/>
        <sz val="8"/>
        <color indexed="8"/>
        <rFont val="Arial"/>
        <family val="2"/>
      </rPr>
      <t>(c)(e)</t>
    </r>
  </si>
  <si>
    <t>Table S3: Frequency of sugar sweetened and diet drink consumption in people aged 18 or over, by sex (2020–21) and population characteristics (2017–18)</t>
  </si>
  <si>
    <r>
      <t>Remoteness</t>
    </r>
    <r>
      <rPr>
        <b/>
        <vertAlign val="superscript"/>
        <sz val="8"/>
        <color indexed="8"/>
        <rFont val="Arial"/>
        <family val="2"/>
      </rPr>
      <t>(b)</t>
    </r>
    <r>
      <rPr>
        <b/>
        <vertAlign val="superscript"/>
        <sz val="8"/>
        <color rgb="FF000000"/>
        <rFont val="Arial"/>
        <family val="2"/>
      </rPr>
      <t>(c)</t>
    </r>
  </si>
  <si>
    <r>
      <t>Socioeconomic area</t>
    </r>
    <r>
      <rPr>
        <b/>
        <vertAlign val="superscript"/>
        <sz val="8"/>
        <color indexed="8"/>
        <rFont val="Arial"/>
        <family val="2"/>
      </rPr>
      <t>(b)(c)</t>
    </r>
  </si>
  <si>
    <t>c) Estimates for physical activity by population group is reported for 2017–18, due to data quality issues with the 2020–21 NHS. Please refer to Technical Notes of the report for more information.</t>
  </si>
  <si>
    <r>
      <t>Age standardised rate</t>
    </r>
    <r>
      <rPr>
        <b/>
        <vertAlign val="superscript"/>
        <sz val="8"/>
        <rFont val="Arial"/>
        <family val="2"/>
      </rPr>
      <t>(a)</t>
    </r>
  </si>
  <si>
    <t>Table S5: Age-standardised and crude proportions of overweight and obese persons aged 18 and over, by sex and population groups, 2017–18</t>
  </si>
  <si>
    <r>
      <rPr>
        <i/>
        <sz val="8"/>
        <color theme="1"/>
        <rFont val="Arial"/>
        <family val="2"/>
      </rPr>
      <t>Source:</t>
    </r>
    <r>
      <rPr>
        <sz val="8"/>
        <color theme="1"/>
        <rFont val="Arial"/>
        <family val="2"/>
      </rPr>
      <t xml:space="preserve"> AIHW calculations using prevalence rates from the 2015 World Alzheimer report and Withall et al. 2014.</t>
    </r>
  </si>
  <si>
    <r>
      <t>Weekly</t>
    </r>
    <r>
      <rPr>
        <b/>
        <vertAlign val="superscript"/>
        <sz val="8"/>
        <color theme="1"/>
        <rFont val="Arial"/>
        <family val="2"/>
      </rPr>
      <t>(a)</t>
    </r>
  </si>
  <si>
    <t>Less than daily</t>
  </si>
  <si>
    <t>..</t>
  </si>
  <si>
    <t xml:space="preserve">Age group </t>
  </si>
  <si>
    <t>.. not applicable</t>
  </si>
  <si>
    <r>
      <t>Table S8:  Smoking status of current smokers by age group and sex (percentage) (2020–21)</t>
    </r>
    <r>
      <rPr>
        <b/>
        <vertAlign val="superscript"/>
        <sz val="12"/>
        <color rgb="FF003A56"/>
        <rFont val="Arial"/>
        <family val="2"/>
      </rPr>
      <t>(a)</t>
    </r>
    <r>
      <rPr>
        <b/>
        <sz val="12"/>
        <color rgb="FF003A56"/>
        <rFont val="Arial"/>
        <family val="2"/>
      </rPr>
      <t xml:space="preserve"> and population groups (2017–18)</t>
    </r>
    <r>
      <rPr>
        <b/>
        <vertAlign val="superscript"/>
        <sz val="12"/>
        <color rgb="FF003A56"/>
        <rFont val="Arial"/>
        <family val="2"/>
      </rPr>
      <t>(b)</t>
    </r>
  </si>
  <si>
    <r>
      <t>Remoteness area</t>
    </r>
    <r>
      <rPr>
        <b/>
        <vertAlign val="superscript"/>
        <sz val="8"/>
        <color rgb="FF000000"/>
        <rFont val="Arial"/>
        <family val="2"/>
      </rPr>
      <t>(c)(d)</t>
    </r>
  </si>
  <si>
    <r>
      <t>Socioeconomic area</t>
    </r>
    <r>
      <rPr>
        <b/>
        <vertAlign val="superscript"/>
        <sz val="8"/>
        <color indexed="8"/>
        <rFont val="Arial"/>
        <family val="2"/>
      </rPr>
      <t>(c)(d)</t>
    </r>
  </si>
  <si>
    <t>e) Estimates for physical activity participation by population groups are reported for 2017–18, due to data quality issues with the 2020–21 NHS. Please refer to Technical Notes of the report for more information.</t>
  </si>
  <si>
    <t>e) Estimates for dietary behaviour by population groups are reported for 2017–18, due to data quality issues with the 2020–21 NHS. Please refer to Technical Notes of the report for more information.</t>
  </si>
  <si>
    <t>d) Rates for current daily smokers by population groups are reported for 2017–18.</t>
  </si>
  <si>
    <t>a) In 2020–21, data from National Health Survey (NHS), Survey of Income and Housing (SIH), National Study of Mental Health and Wellbeing (NSMHW) and Survey of Disability, Ageing and Carers (SDAC) have been combined to create a larger sample of current smoker status.</t>
  </si>
  <si>
    <t>b) In 2017-18, data from NHS and SIH have been combined to create a much larger sample which will allow for a more accurate smoker status estimate. The combined dataset was used solely for smoker status, not consumption of cigarettes.</t>
  </si>
  <si>
    <t>#0.7</t>
  </si>
  <si>
    <r>
      <t>15–17</t>
    </r>
    <r>
      <rPr>
        <vertAlign val="superscript"/>
        <sz val="8"/>
        <rFont val="Arial"/>
        <family val="2"/>
      </rPr>
      <t>(b)</t>
    </r>
  </si>
  <si>
    <r>
      <t>Table S9.1: Alcohol drink consumption by age group and number of drinks (percentage) against the recommended guideline</t>
    </r>
    <r>
      <rPr>
        <b/>
        <vertAlign val="superscript"/>
        <sz val="12"/>
        <color rgb="FF003A56"/>
        <rFont val="Arial"/>
        <family val="2"/>
      </rPr>
      <t>(a)</t>
    </r>
    <r>
      <rPr>
        <b/>
        <sz val="12"/>
        <color rgb="FF003A56"/>
        <rFont val="Arial"/>
        <family val="2"/>
      </rPr>
      <t xml:space="preserve">, 2020–21. </t>
    </r>
  </si>
  <si>
    <t>15.4-27.8</t>
  </si>
  <si>
    <t>9.3-16.5</t>
  </si>
  <si>
    <t>6.8-12</t>
  </si>
  <si>
    <t>10.6-16.6</t>
  </si>
  <si>
    <t>8.6-14.4</t>
  </si>
  <si>
    <t>2.1-6.5</t>
  </si>
  <si>
    <t>0.9-5.9</t>
  </si>
  <si>
    <t>9.7-11.9</t>
  </si>
  <si>
    <t>10.1-12.5</t>
  </si>
  <si>
    <t>Lifetime alcohol use risk</t>
  </si>
  <si>
    <t>Q1 (lowest)</t>
  </si>
  <si>
    <t>Q5 (highest)</t>
  </si>
  <si>
    <r>
      <t>Greater than 10 drinks per week</t>
    </r>
    <r>
      <rPr>
        <b/>
        <vertAlign val="superscript"/>
        <sz val="8"/>
        <color theme="1"/>
        <rFont val="Arial"/>
        <family val="2"/>
      </rPr>
      <t>(c)</t>
    </r>
    <r>
      <rPr>
        <b/>
        <sz val="8"/>
        <color theme="1"/>
        <rFont val="Arial"/>
        <family val="2"/>
      </rPr>
      <t xml:space="preserve"> </t>
    </r>
  </si>
  <si>
    <r>
      <t>Greater than 5 drinks on any day, at least monthly</t>
    </r>
    <r>
      <rPr>
        <b/>
        <vertAlign val="superscript"/>
        <sz val="8"/>
        <color theme="1"/>
        <rFont val="Arial"/>
        <family val="2"/>
      </rPr>
      <t>(d)</t>
    </r>
  </si>
  <si>
    <r>
      <t>Socioeconomic status</t>
    </r>
    <r>
      <rPr>
        <b/>
        <vertAlign val="superscript"/>
        <sz val="8"/>
        <color indexed="8"/>
        <rFont val="Arial"/>
        <family val="2"/>
      </rPr>
      <t>(b)</t>
    </r>
  </si>
  <si>
    <t>a) Alcohol consumption by population groups are reported against the lifetime alcohol risk from the 2009 NHMRC guidelines for the consumption of alcohol. Lifetime alcohol risk is defined as drinking no more than two standard drinks on any day.</t>
  </si>
  <si>
    <r>
      <t>Table S9.2: Lifetime alcohol use risk by selected population groups (percentage)</t>
    </r>
    <r>
      <rPr>
        <b/>
        <vertAlign val="superscript"/>
        <sz val="12"/>
        <color rgb="FF003A56"/>
        <rFont val="Arial"/>
        <family val="2"/>
      </rPr>
      <t>(a)</t>
    </r>
    <r>
      <rPr>
        <b/>
        <sz val="12"/>
        <color rgb="FF003A56"/>
        <rFont val="Arial"/>
        <family val="2"/>
      </rPr>
      <t>, 2017–18.</t>
    </r>
  </si>
  <si>
    <t xml:space="preserve">(a) The Australian Adult Alcohol Guideline was released in December 2020 by the National Health and Medical Research Council (NHMRC). </t>
  </si>
  <si>
    <t xml:space="preserve">(b) The Australian Children Alcohol Guideline recommends people under 18 years of age should not drink alcohol. </t>
  </si>
  <si>
    <r>
      <t xml:space="preserve">(c) The Australian Adult Alcohol Guideline 2020 is based on Guideline 1 of the </t>
    </r>
    <r>
      <rPr>
        <i/>
        <sz val="8"/>
        <rFont val="Arial"/>
        <family val="2"/>
      </rPr>
      <t>Australian Guidelines to Reduce Health Risks From Drinking Alcohol</t>
    </r>
    <r>
      <rPr>
        <sz val="8"/>
        <rFont val="Arial"/>
        <family val="2"/>
      </rPr>
      <t xml:space="preserve">. Persons aged 18 years and over who exceeded the guideline either consumed more than 10 standard drinks per week or more than 4 standard drinks on a single day at least 12 or more times in the last 12 months. </t>
    </r>
  </si>
  <si>
    <t xml:space="preserve">(d) At least monthly consumption has been interpreted as consuming 5 or more drinks at least 12 times in the last 12 months. </t>
  </si>
  <si>
    <r>
      <t>Table S10: Number of selected chronic conditions</t>
    </r>
    <r>
      <rPr>
        <b/>
        <vertAlign val="superscript"/>
        <sz val="12"/>
        <color rgb="FF003A56"/>
        <rFont val="Arial"/>
        <family val="2"/>
      </rPr>
      <t>(a)</t>
    </r>
    <r>
      <rPr>
        <b/>
        <sz val="12"/>
        <color rgb="FF003A56"/>
        <rFont val="Arial"/>
        <family val="2"/>
      </rPr>
      <t>, by sex, 2020–21</t>
    </r>
  </si>
  <si>
    <t xml:space="preserve">Cells in this table containing data have been randomly adjusted to avoid the release of confidential data. Discrepancies may occur between sums of the component items and totals. </t>
  </si>
  <si>
    <t>a) Selected chronic conditions consists of arthritis, asthma, back problems (dorsopathies), cancer (malignant neoplasms), chronic obstructive pulmonary disease (COPD), diabetes mellitus, heart, stroke and vascular disease, kidney disease, mental and behavioural conditions and osteoporosis. Includes persons who have a current health condition which has lasted, or is expected to last, for 6 months or more; except for persons reporting diabetes mellitus and/or heart, stroke and vascular disease which are included irrespective of whether the condition is current and/or long-term. Multiple conditions belonging to the same condition type (e.g. Mental and behavioural conditions) are treated as the one condition. For example, a person with anxiety and depression (and no other chronic condition) is treated as having one selected chronic condition.</t>
  </si>
  <si>
    <r>
      <rPr>
        <i/>
        <sz val="8"/>
        <rFont val="Arial"/>
        <family val="2"/>
      </rPr>
      <t>Source:</t>
    </r>
    <r>
      <rPr>
        <sz val="8"/>
        <rFont val="Arial"/>
        <family val="2"/>
      </rPr>
      <t xml:space="preserve"> AIHW National Mortality Database.</t>
    </r>
  </si>
  <si>
    <r>
      <t>HIV</t>
    </r>
    <r>
      <rPr>
        <b/>
        <vertAlign val="superscript"/>
        <sz val="8"/>
        <rFont val="Arial"/>
        <family val="2"/>
      </rPr>
      <t>(a)</t>
    </r>
  </si>
  <si>
    <t>Table S16:  Average number of GP services per person, claimed through Medicare, by age group, 2021–22</t>
  </si>
  <si>
    <t>Table S17.1: Hospitalisations per 1,000 population, by sex and age group, all hospitals, 2020–21</t>
  </si>
  <si>
    <t>Table S17.2: Emergency department presentations per 1,000 population by sex and age, crude rates, 2020–21</t>
  </si>
  <si>
    <t>1. Excludes presentations for which the age group or sex was not reported.</t>
  </si>
  <si>
    <t>2. Crude rates are calculated based on the number of presentations within a specific population and should be interpreted with caution.</t>
  </si>
  <si>
    <r>
      <rPr>
        <i/>
        <sz val="8"/>
        <color rgb="FF000000"/>
        <rFont val="Arial"/>
        <family val="2"/>
      </rPr>
      <t>Note:</t>
    </r>
    <r>
      <rPr>
        <sz val="8"/>
        <color rgb="FF000000"/>
        <rFont val="Arial"/>
        <family val="2"/>
      </rPr>
      <t xml:space="preserve"> Weight loss surgery procedure includes all procudure codes in the procedure block '0889 Procedures for obesity', andi ncludes overnight and same day stays.</t>
    </r>
  </si>
  <si>
    <t>The 2020-21 NHS was conducted during the COVID-19 pandemic which significantly hanged the data collection. To maintain the safey of survey respondents and ABS interviewers, the survey was collected via an online, self-complete form. Non-response was unable to be follwed up as a result, so there were lower response rates than previous NHS cycles. This impacted sample representativeness for some sub-populations. For this reason, some data in this supplementary tables have been reported using the 2017–18 NHS.</t>
  </si>
  <si>
    <t>The 2020–NHS should be considered a break in time series from previous NHS collections and used for point-in-time national analysis only.</t>
  </si>
  <si>
    <t>Further information can be found on the ABS 2020–21 NHS First results methodology page.</t>
  </si>
  <si>
    <t xml:space="preserve">- ABS quality declaration summary for Deaths, Australia </t>
  </si>
  <si>
    <t>- ABS quality declaration summary for Causes of death, Australia</t>
  </si>
  <si>
    <t>14.5–29.9</t>
  </si>
  <si>
    <t>11.9–20.5</t>
  </si>
  <si>
    <t>8.9–14.3</t>
  </si>
  <si>
    <t>6.3–12.1</t>
  </si>
  <si>
    <t>3.4–8</t>
  </si>
  <si>
    <t>3.7–10.1</t>
  </si>
  <si>
    <t>2.7–10.5</t>
  </si>
  <si>
    <t>9.5–12.7</t>
  </si>
  <si>
    <t>4.2–8.8</t>
  </si>
  <si>
    <t>21.5–41.5</t>
  </si>
  <si>
    <t>22.8–33.6</t>
  </si>
  <si>
    <t>13.6–21.2</t>
  </si>
  <si>
    <t>7.5–14.1</t>
  </si>
  <si>
    <t>10.8–18.8</t>
  </si>
  <si>
    <t>6.7–13.1</t>
  </si>
  <si>
    <t>4.8–11.8</t>
  </si>
  <si>
    <t>16.4–20.2</t>
  </si>
  <si>
    <t>6.9–11.3</t>
  </si>
  <si>
    <t>8.6–20.8</t>
  </si>
  <si>
    <t>17–26.2</t>
  </si>
  <si>
    <t>13.6–21.4</t>
  </si>
  <si>
    <t>13.3–21.7</t>
  </si>
  <si>
    <t>14.7–22.5</t>
  </si>
  <si>
    <t>11.5–19.5</t>
  </si>
  <si>
    <t>3.1–9.7</t>
  </si>
  <si>
    <t>15.2–18.6</t>
  </si>
  <si>
    <t>9.2–14.4</t>
  </si>
  <si>
    <t>15.1–30.7</t>
  </si>
  <si>
    <t>15.2–25</t>
  </si>
  <si>
    <t>12.7–19.7</t>
  </si>
  <si>
    <t>12.4–18.8</t>
  </si>
  <si>
    <t>11.5–17.9</t>
  </si>
  <si>
    <t>7.6–14.4</t>
  </si>
  <si>
    <t>5.3–12.3</t>
  </si>
  <si>
    <t>14.1–17.3</t>
  </si>
  <si>
    <t>7–12.4</t>
  </si>
  <si>
    <t>Proportion of people aged 18 and over meeting the physical activity guidelines (including exercise at work), by sex (2020–21) and population groups (2017–18)</t>
  </si>
  <si>
    <t>Proportion of people aged 18 and over meeting the fruit and vegetable intake guidelines, by sex (2020–21) and population groups (2017–18)</t>
  </si>
  <si>
    <t>Frequency of sugar sweetened and diet drink consumption in people aged 18 or over, by sex (2020–21) and population characteristics (2017–18)</t>
  </si>
  <si>
    <t xml:space="preserve">Prevalence of dementia in 2022: estimated number and rate, by age and sex </t>
  </si>
  <si>
    <t>Smoking status of current smokers by age group and sex (percentage) (2020–21) and population groups (2017–18)</t>
  </si>
  <si>
    <t>Waist circumference risk categories, people aged 18 years and over, by sex and population groups, 2017–18</t>
  </si>
  <si>
    <t>Table S9.1</t>
  </si>
  <si>
    <t>Table S9.2</t>
  </si>
  <si>
    <t>Lifetime alcohol use risk by selected population groups (percentage), 2017–18.</t>
  </si>
  <si>
    <t>Number of selected chronic conditions, by sex, 2020–21</t>
  </si>
  <si>
    <t>Estimated age-specific incidence and mortality rates from all cancers, by sex and age-group, 2022</t>
  </si>
  <si>
    <t>Leading 10 underlying causes of death, number and per cent, by sex, 2021</t>
  </si>
  <si>
    <t>Table S15: Leading 3 underlying causes of death, by sex and age group, 2019–2021</t>
  </si>
  <si>
    <t>Leading 3 underlying causes of death, by sex and age group, 2019–2021</t>
  </si>
  <si>
    <t>Average number of GP services per person, claimed through Medicare, by age group, 2021–22</t>
  </si>
  <si>
    <t>Table S17.1</t>
  </si>
  <si>
    <t>Table S17.2</t>
  </si>
  <si>
    <t>Emergency department presentations per 1,000 population by sex and age, crude rates, 2020–21</t>
  </si>
  <si>
    <t>Number of weight loss surgeries, by sex and age group, 2020–21</t>
  </si>
  <si>
    <t>Source: ABS (2018) National Health Survey: First results, [Table 8.3: Body Mass Index, waist circumference, height and weight], abs.gov.au, accessed 3 March 2023.</t>
  </si>
  <si>
    <t>Source: ABS (2019). National Health Survey, 2017–18. Customised data report. Canberra: ABS.</t>
  </si>
  <si>
    <r>
      <rPr>
        <i/>
        <sz val="8"/>
        <rFont val="Arial"/>
        <family val="2"/>
      </rPr>
      <t xml:space="preserve">Source: </t>
    </r>
    <r>
      <rPr>
        <sz val="8"/>
        <rFont val="Arial"/>
        <family val="2"/>
      </rPr>
      <t xml:space="preserve">
ABS (2018) National Health Survey: First Results, 2017–18, accessed 27 February 2023.</t>
    </r>
  </si>
  <si>
    <t>ABS (2019) Microdata: National Health Survey, 2017–18, detailed microdata, DataLab. Findings based on AIHW analysis of ABS microdata., abs.gov.au, accessed 18 June 2019.</t>
  </si>
  <si>
    <t>ABS (2022) Insights into Australian smokers, 2021-22, [Table 2.3 Current smoker status by age and sex], accessed 23 February 2023.</t>
  </si>
  <si>
    <r>
      <rPr>
        <i/>
        <sz val="8"/>
        <color indexed="8"/>
        <rFont val="Arial"/>
        <family val="2"/>
      </rPr>
      <t>Source:</t>
    </r>
    <r>
      <rPr>
        <sz val="8"/>
        <color indexed="8"/>
        <rFont val="Arial"/>
        <family val="2"/>
      </rPr>
      <t>AIHW (2018) Cancer Data in Australia; Canberra: AIHW. &lt;https://www.aihw.gov.au/reports/cancer/cancer-data-in-australia/&gt;.</t>
    </r>
  </si>
  <si>
    <r>
      <rPr>
        <i/>
        <sz val="8"/>
        <color theme="1"/>
        <rFont val="Arial"/>
        <family val="2"/>
      </rPr>
      <t xml:space="preserve">Source: </t>
    </r>
    <r>
      <rPr>
        <sz val="8"/>
        <color theme="1"/>
        <rFont val="Arial"/>
        <family val="2"/>
      </rPr>
      <t>AIHW (2021) Hospitals: Admitted patients, [Table 3.8: Admitted Patient care 2020-21, Who used admitted patient services?], AIHW website, accessed 27 October 2022.</t>
    </r>
  </si>
  <si>
    <r>
      <t>Source:</t>
    </r>
    <r>
      <rPr>
        <sz val="8"/>
        <color theme="1"/>
        <rFont val="Arial"/>
        <family val="2"/>
      </rPr>
      <t xml:space="preserve"> AIHW (2021) Hospitals: Emergency department care 2020-21, [Table 3.1: Emergency department presentations by age and sex], AIHW website, accessed 17 December 2022.</t>
    </r>
  </si>
  <si>
    <r>
      <rPr>
        <i/>
        <sz val="8"/>
        <color theme="1"/>
        <rFont val="Arial"/>
        <family val="2"/>
      </rPr>
      <t xml:space="preserve">Source: </t>
    </r>
    <r>
      <rPr>
        <sz val="8"/>
        <color theme="1"/>
        <rFont val="Arial"/>
        <family val="2"/>
      </rPr>
      <t>AIHW (2022) Procedures data cubes, 2020-21, AIHW website, accessed 10 February 2023.</t>
    </r>
  </si>
  <si>
    <t>ABS (2022) National Health Survey, Health Conditions Prevalence, [Table 9: Consumption of fruit, vegetables and sugar sweetened diet drinks, 2020–21], abs.gov.au, accessed 19 October.</t>
  </si>
  <si>
    <t>ABS (2019) Microdata: National Health Survey, 2017–18, AIHW analysis of ABS microdata, DataLab, Canberra, accessed 29 September 2018.</t>
  </si>
  <si>
    <t>ABS (2022) Microdata: National Health Survey, 2020–21, AIHW analysis of Physical activity by age, ABS DataLab, Canberra, accessed 16 November 2022.</t>
  </si>
  <si>
    <t>ABS (2018) Microdata: National Health Survey, 2017–18, AIHW analysis of ABS microdata, DataLab, Canberra, accessed 29 September 2018.</t>
  </si>
  <si>
    <t>ABS (2022) National Health Survey, Health Conditions Prevalence, [Table 9.7: Consumption of fruit, vegetables and sugar sweetened diet drinks, 2020–21], abs.gov.au, accessed 19 October.</t>
  </si>
  <si>
    <t>ABS (2019) Microdata: National Health Survey, 2017–18, detailed microdata. Findings based on AIHW analysis of ABS microdata.</t>
  </si>
  <si>
    <t>ABS (2019) Microdata: National Health Survey, 2017–18, detailed microdata, DataLab. ABS cat no. 4324.0.55.001. Canberra: ABS. Findings based on AIHW analysis of ABS microdata.</t>
  </si>
  <si>
    <t xml:space="preserve">ABS (2019) National Health Survey, 2017–18. Customised report. Canberra: ABS. </t>
  </si>
  <si>
    <t>ABS (2022) NHS, Alcohol consumption [Table 7.3: Alcohol consumption – Australian Adult Alcohol Guideline 2020-21], abs.gov.au, accessed 29 September 2022.</t>
  </si>
  <si>
    <r>
      <rPr>
        <i/>
        <sz val="8"/>
        <rFont val="Arial"/>
        <family val="2"/>
      </rPr>
      <t xml:space="preserve">Source: </t>
    </r>
    <r>
      <rPr>
        <sz val="8"/>
        <rFont val="Arial"/>
        <family val="2"/>
      </rPr>
      <t>ABS (2022) Health Conditions Prevalence 2020-21 [Table 1.3: Summary health characteristics, by age and sex], abs.gov.au, accessed 30 September 2022.</t>
    </r>
  </si>
  <si>
    <t>UNSW (The Kirby Institute) (2022) HIV, viral hepatitis and sexually transmissible infections in Australia: Annual surveillance report 2022, UNSW Website, accessed 17 May 2022.</t>
  </si>
  <si>
    <t>Departmet of Health and Aged Care (2022) National Notifiable Disease Surveillance System. nindss.health.gov.au, accessed 18 January 2023.</t>
  </si>
  <si>
    <r>
      <rPr>
        <i/>
        <sz val="8"/>
        <color theme="1"/>
        <rFont val="Arial"/>
        <family val="2"/>
      </rPr>
      <t xml:space="preserve">Source: </t>
    </r>
    <r>
      <rPr>
        <sz val="8"/>
        <color theme="1"/>
        <rFont val="Arial"/>
        <family val="2"/>
      </rPr>
      <t>Services Australia (2022) Microdata: Medicare, 2021–22, detailed microdata. Findings based on AIHW analysis of Services Australia microdata.</t>
    </r>
  </si>
  <si>
    <t xml:space="preserve"> </t>
  </si>
  <si>
    <t>a) Rates are age-standardised to the 2001 Australian standard population.</t>
  </si>
  <si>
    <t>b) There are no new cases of donovanosis reported in 2021.</t>
  </si>
  <si>
    <t>Table S13: Sexually Transmissible Infections (STIs), rate per 100,000, by sex, 2012–2021</t>
  </si>
  <si>
    <t>Table S12: Sexually Transmissible Infections (STIs), rate per 100,000, by age-group and sex, 2021</t>
  </si>
  <si>
    <t>Sexually Transmitted Infections (STIs), rate per 100,000, by sex, 2012–2021</t>
  </si>
  <si>
    <t>Sexually Transmitted Infections (STIs), rate per 100,000, by age-group and sex, 2021</t>
  </si>
  <si>
    <t>Males (ASR)</t>
  </si>
  <si>
    <t>Females (ASR)</t>
  </si>
  <si>
    <t>Males (Crude rate)</t>
  </si>
  <si>
    <t>Females (Crude rate)</t>
  </si>
  <si>
    <t>c) ASR: Aged Standardised Rate</t>
  </si>
  <si>
    <t>c) ASR: Aged Standarised Rate</t>
  </si>
  <si>
    <t>Gonococcal</t>
  </si>
  <si>
    <t>Rate per 100,000 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</si>
</sst>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quot;&quot;#,##0.0&quot;&quot;"/>
    <numFmt numFmtId="165" formatCode="###,##0.0"/>
    <numFmt numFmtId="166" formatCode="#,##0.0"/>
    <numFmt numFmtId="167" formatCode="0.0"/>
    <numFmt numFmtId="168" formatCode="&quot;#&quot;#,##0.0"/>
    <numFmt numFmtId="169" formatCode="#,##0.0000"/>
    <numFmt numFmtId="170" formatCode="0.000"/>
    <numFmt numFmtId="171" formatCode="_-* #,##0_-;\-* #,##0_-;_-* &quot;-&quot;??_-;_-@_-"/>
  </numFmts>
  <fonts count="89">
    <font>
      <sz val="11"/>
      <color theme="1"/>
      <name val="Calibri"/>
      <family val="2"/>
      <scheme val="minor"/>
    </font>
    <font>
      <b/>
      <sz val="11"/>
      <color theme="0"/>
      <name val="Calibri"/>
      <family val="2"/>
      <scheme val="minor"/>
    </font>
    <font>
      <b/>
      <sz val="11"/>
      <color theme="1"/>
      <name val="Calibri"/>
      <family val="2"/>
      <scheme val="minor"/>
    </font>
    <font>
      <b/>
      <sz val="24"/>
      <color theme="1"/>
      <name val="Arial"/>
      <family val="2"/>
    </font>
    <font>
      <b/>
      <sz val="18"/>
      <color theme="1"/>
      <name val="Arial"/>
      <family val="2"/>
    </font>
    <font>
      <sz val="10"/>
      <color theme="1"/>
      <name val="Arial"/>
      <family val="2"/>
    </font>
    <font>
      <sz val="9"/>
      <color theme="4"/>
      <name val="Arial"/>
      <family val="2"/>
    </font>
    <font>
      <u/>
      <sz val="11"/>
      <color theme="10"/>
      <name val="Calibri"/>
      <family val="2"/>
      <scheme val="minor"/>
    </font>
    <font>
      <b/>
      <sz val="12"/>
      <color theme="1"/>
      <name val="Arial"/>
      <family val="2"/>
    </font>
    <font>
      <b/>
      <sz val="16"/>
      <color rgb="FF003A56"/>
      <name val="Arial"/>
      <family val="2"/>
    </font>
    <font>
      <sz val="16"/>
      <color rgb="FF003A56"/>
      <name val="Calibri"/>
      <family val="2"/>
      <scheme val="minor"/>
    </font>
    <font>
      <b/>
      <sz val="14"/>
      <name val="Arial"/>
      <family val="2"/>
    </font>
    <font>
      <b/>
      <sz val="11"/>
      <name val="Arial"/>
      <family val="2"/>
    </font>
    <font>
      <b/>
      <sz val="12"/>
      <color rgb="FF003A56"/>
      <name val="Arial"/>
      <family val="2"/>
    </font>
    <font>
      <sz val="11"/>
      <color rgb="FF003A56"/>
      <name val="Calibri"/>
      <family val="2"/>
      <scheme val="minor"/>
    </font>
    <font>
      <sz val="10"/>
      <name val="Arial"/>
      <family val="2"/>
    </font>
    <font>
      <b/>
      <sz val="8"/>
      <name val="Arial"/>
      <family val="2"/>
    </font>
    <font>
      <sz val="8"/>
      <name val="Arial"/>
      <family val="2"/>
    </font>
    <font>
      <sz val="8"/>
      <name val="Microsoft Sans Serif"/>
      <family val="2"/>
    </font>
    <font>
      <i/>
      <sz val="8"/>
      <color theme="1"/>
      <name val="Arial"/>
      <family val="2"/>
    </font>
    <font>
      <sz val="8"/>
      <color theme="1"/>
      <name val="Arial"/>
      <family val="2"/>
    </font>
    <font>
      <b/>
      <sz val="8"/>
      <color theme="1"/>
      <name val="Arial"/>
      <family val="2"/>
    </font>
    <font>
      <i/>
      <sz val="8"/>
      <name val="Arial"/>
      <family val="2"/>
    </font>
    <font>
      <sz val="8"/>
      <color indexed="8"/>
      <name val="Arial"/>
      <family val="2"/>
    </font>
    <font>
      <sz val="10"/>
      <color theme="1"/>
      <name val="Calibri"/>
      <family val="2"/>
    </font>
    <font>
      <sz val="11"/>
      <name val="Arial"/>
      <family val="2"/>
    </font>
    <font>
      <u/>
      <sz val="8"/>
      <color theme="10"/>
      <name val="Arial"/>
      <family val="2"/>
    </font>
    <font>
      <sz val="8"/>
      <color theme="1"/>
      <name val="Calibri"/>
      <family val="2"/>
      <scheme val="minor"/>
    </font>
    <font>
      <b/>
      <sz val="8"/>
      <color indexed="8"/>
      <name val="Arial"/>
      <family val="2"/>
    </font>
    <font>
      <b/>
      <sz val="9"/>
      <color theme="1"/>
      <name val="Arial"/>
      <family val="2"/>
    </font>
    <font>
      <sz val="9"/>
      <name val="Arial"/>
      <family val="2"/>
    </font>
    <font>
      <sz val="9"/>
      <color theme="1"/>
      <name val="Arial"/>
      <family val="2"/>
    </font>
    <font>
      <b/>
      <sz val="10"/>
      <color theme="1"/>
      <name val="Book Antiqua"/>
      <family val="1"/>
    </font>
    <font>
      <sz val="8"/>
      <color rgb="FF000000"/>
      <name val="Arial"/>
      <family val="2"/>
    </font>
    <font>
      <b/>
      <sz val="16"/>
      <name val="Arial"/>
      <family val="2"/>
    </font>
    <font>
      <b/>
      <sz val="12"/>
      <name val="Arial"/>
      <family val="2"/>
    </font>
    <font>
      <sz val="11"/>
      <color theme="1"/>
      <name val="Calibri"/>
      <family val="2"/>
      <scheme val="minor"/>
    </font>
    <font>
      <b/>
      <vertAlign val="superscript"/>
      <sz val="8"/>
      <color indexed="8"/>
      <name val="Arial"/>
      <family val="2"/>
    </font>
    <font>
      <i/>
      <sz val="8"/>
      <color indexed="8"/>
      <name val="Arial"/>
      <family val="2"/>
    </font>
    <font>
      <b/>
      <sz val="8"/>
      <color rgb="FF000000"/>
      <name val="Arial"/>
      <family val="2"/>
    </font>
    <font>
      <b/>
      <vertAlign val="superscript"/>
      <sz val="8"/>
      <color theme="1"/>
      <name val="Arial"/>
      <family val="2"/>
    </font>
    <font>
      <b/>
      <vertAlign val="superscript"/>
      <sz val="12"/>
      <color rgb="FF003A56"/>
      <name val="Arial"/>
      <family val="2"/>
    </font>
    <font>
      <b/>
      <vertAlign val="superscript"/>
      <sz val="8"/>
      <name val="Arial"/>
      <family val="2"/>
    </font>
    <font>
      <sz val="11"/>
      <color theme="1"/>
      <name val="Arial"/>
      <family val="2"/>
    </font>
    <font>
      <u/>
      <sz val="9"/>
      <color theme="10"/>
      <name val="Arial"/>
      <family val="2"/>
    </font>
    <font>
      <u/>
      <sz val="10"/>
      <color theme="10"/>
      <name val="Calibri"/>
      <family val="2"/>
      <scheme val="minor"/>
    </font>
    <font>
      <sz val="10"/>
      <color theme="1"/>
      <name val="Calibri"/>
      <family val="2"/>
      <scheme val="minor"/>
    </font>
    <font>
      <b/>
      <sz val="10"/>
      <color theme="1"/>
      <name val="Calibri"/>
      <family val="2"/>
      <scheme val="minor"/>
    </font>
    <font>
      <b/>
      <sz val="10"/>
      <color theme="0"/>
      <name val="Calibri"/>
      <family val="2"/>
      <scheme val="minor"/>
    </font>
    <font>
      <u/>
      <sz val="11"/>
      <color theme="10"/>
      <name val="Arial"/>
      <family val="2"/>
    </font>
    <font>
      <sz val="11"/>
      <color indexed="8"/>
      <name val="Arial"/>
      <family val="2"/>
    </font>
    <font>
      <sz val="11"/>
      <color rgb="FF0000FF"/>
      <name val="Arial"/>
      <family val="2"/>
    </font>
    <font>
      <sz val="11"/>
      <color rgb="FF00B050"/>
      <name val="Arial"/>
      <family val="2"/>
    </font>
    <font>
      <sz val="7"/>
      <name val="Arial"/>
      <family val="2"/>
    </font>
    <font>
      <sz val="11"/>
      <name val="Calibri"/>
      <family val="2"/>
      <scheme val="minor"/>
    </font>
    <font>
      <u/>
      <sz val="10"/>
      <color theme="10"/>
      <name val="Arial"/>
      <family val="2"/>
    </font>
    <font>
      <b/>
      <sz val="10"/>
      <name val="Arial"/>
      <family val="2"/>
    </font>
    <font>
      <i/>
      <sz val="7"/>
      <name val="Arial"/>
      <family val="2"/>
    </font>
    <font>
      <sz val="11"/>
      <color rgb="FF000000"/>
      <name val="Arial"/>
      <family val="2"/>
    </font>
    <font>
      <sz val="11"/>
      <color rgb="FFFF0000"/>
      <name val="Calibri"/>
      <family val="2"/>
      <scheme val="minor"/>
    </font>
    <font>
      <sz val="8"/>
      <color theme="1"/>
      <name val="Segoe UI"/>
      <family val="2"/>
    </font>
    <font>
      <b/>
      <sz val="10"/>
      <name val="Book Antiqua"/>
      <family val="1"/>
    </font>
    <font>
      <b/>
      <sz val="8"/>
      <color rgb="FFFF0000"/>
      <name val="Arial"/>
      <family val="2"/>
    </font>
    <font>
      <sz val="8"/>
      <color rgb="FFFF0000"/>
      <name val="Arial"/>
      <family val="2"/>
    </font>
    <font>
      <i/>
      <sz val="8"/>
      <color rgb="FFFF0000"/>
      <name val="Arial"/>
      <family val="2"/>
    </font>
    <font>
      <b/>
      <sz val="11"/>
      <color rgb="FFFF0000"/>
      <name val="Calibri"/>
      <family val="2"/>
      <scheme val="minor"/>
    </font>
    <font>
      <sz val="11"/>
      <color rgb="FFFF0000"/>
      <name val="Arial"/>
      <family val="2"/>
    </font>
    <font>
      <i/>
      <sz val="7"/>
      <color rgb="FFFF0000"/>
      <name val="Arial"/>
      <family val="2"/>
    </font>
    <font>
      <i/>
      <sz val="8"/>
      <name val="FrnkGothITC Bk BT"/>
      <family val="2"/>
    </font>
    <font>
      <sz val="9"/>
      <color rgb="FFFF0000"/>
      <name val="Arial"/>
      <family val="2"/>
    </font>
    <font>
      <u/>
      <sz val="10"/>
      <color indexed="12"/>
      <name val="Arial"/>
      <family val="2"/>
    </font>
    <font>
      <sz val="10"/>
      <name val="Tahoma"/>
      <family val="2"/>
    </font>
    <font>
      <sz val="8"/>
      <name val="Calibri"/>
      <family val="2"/>
      <scheme val="minor"/>
    </font>
    <font>
      <sz val="8"/>
      <color theme="9"/>
      <name val="Arial"/>
      <family val="2"/>
    </font>
    <font>
      <i/>
      <sz val="10"/>
      <name val="Arial"/>
      <family val="2"/>
    </font>
    <font>
      <i/>
      <sz val="10"/>
      <color rgb="FF0070C0"/>
      <name val="Arial"/>
      <family val="2"/>
    </font>
    <font>
      <b/>
      <sz val="12"/>
      <color rgb="FF313131"/>
      <name val="Arial"/>
      <family val="2"/>
    </font>
    <font>
      <b/>
      <sz val="12"/>
      <color rgb="FF333333"/>
      <name val="Arial"/>
      <family val="2"/>
    </font>
    <font>
      <b/>
      <sz val="9"/>
      <name val="Arial"/>
      <family val="2"/>
    </font>
    <font>
      <b/>
      <sz val="9"/>
      <color rgb="FF000000"/>
      <name val="Arial"/>
      <family val="2"/>
    </font>
    <font>
      <i/>
      <sz val="9"/>
      <color theme="1"/>
      <name val="Arial"/>
      <family val="2"/>
    </font>
    <font>
      <sz val="9"/>
      <color theme="1"/>
      <name val="Calibri"/>
      <family val="2"/>
      <scheme val="minor"/>
    </font>
    <font>
      <b/>
      <vertAlign val="superscript"/>
      <sz val="8"/>
      <color rgb="FF000000"/>
      <name val="Arial"/>
      <family val="2"/>
    </font>
    <font>
      <i/>
      <strike/>
      <sz val="8"/>
      <color rgb="FFFF0000"/>
      <name val="Arial"/>
      <family val="2"/>
    </font>
    <font>
      <strike/>
      <sz val="8"/>
      <color rgb="FFFF0000"/>
      <name val="Arial"/>
      <family val="2"/>
    </font>
    <font>
      <sz val="8"/>
      <name val="Calibri"/>
      <family val="2"/>
    </font>
    <font>
      <b/>
      <sz val="11"/>
      <color rgb="FF003A56"/>
      <name val="Arial"/>
      <family val="2"/>
    </font>
    <font>
      <vertAlign val="superscript"/>
      <sz val="8"/>
      <name val="Arial"/>
      <family val="2"/>
    </font>
    <font>
      <i/>
      <sz val="8"/>
      <color rgb="FF000000"/>
      <name val="Arial"/>
      <family val="2"/>
    </font>
  </fonts>
  <fills count="9">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indexed="65"/>
        <bgColor indexed="64"/>
      </patternFill>
    </fill>
    <fill>
      <patternFill patternType="solid">
        <fgColor indexed="44"/>
        <bgColor indexed="64"/>
      </patternFill>
    </fill>
    <fill>
      <patternFill patternType="solid">
        <fgColor indexed="43"/>
        <bgColor indexed="64"/>
      </patternFill>
    </fill>
    <fill>
      <patternFill patternType="solid">
        <fgColor rgb="FFFFFFFF"/>
        <bgColor rgb="FF000000"/>
      </patternFill>
    </fill>
    <fill>
      <patternFill patternType="solid">
        <fgColor theme="0" tint="-4.9989318521683403E-2"/>
        <bgColor indexed="64"/>
      </patternFill>
    </fill>
  </fills>
  <borders count="11">
    <border>
      <left/>
      <right/>
      <top/>
      <bottom/>
      <diagonal/>
    </border>
    <border>
      <left style="double">
        <color theme="4"/>
      </left>
      <right/>
      <top style="double">
        <color theme="4"/>
      </top>
      <bottom style="double">
        <color theme="4"/>
      </bottom>
      <diagonal/>
    </border>
    <border>
      <left/>
      <right style="double">
        <color theme="4"/>
      </right>
      <top style="double">
        <color theme="4"/>
      </top>
      <bottom style="double">
        <color theme="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bottom style="thin">
        <color indexed="8"/>
      </bottom>
      <diagonal/>
    </border>
    <border>
      <left/>
      <right/>
      <top style="thin">
        <color indexed="64"/>
      </top>
      <bottom style="thin">
        <color indexed="8"/>
      </bottom>
      <diagonal/>
    </border>
    <border>
      <left/>
      <right/>
      <top/>
      <bottom style="thin">
        <color rgb="FF000000"/>
      </bottom>
      <diagonal/>
    </border>
    <border>
      <left/>
      <right/>
      <top/>
      <bottom style="thin">
        <color auto="1"/>
      </bottom>
      <diagonal/>
    </border>
    <border>
      <left/>
      <right/>
      <top style="thin">
        <color indexed="64"/>
      </top>
      <bottom style="thin">
        <color auto="1"/>
      </bottom>
      <diagonal/>
    </border>
  </borders>
  <cellStyleXfs count="35">
    <xf numFmtId="0" fontId="0" fillId="0" borderId="0"/>
    <xf numFmtId="0" fontId="7" fillId="0" borderId="0" applyNumberFormat="0" applyFill="0" applyBorder="0" applyAlignment="0" applyProtection="0"/>
    <xf numFmtId="0" fontId="15" fillId="0" borderId="0"/>
    <xf numFmtId="0" fontId="18" fillId="0" borderId="0">
      <alignment horizontal="right"/>
    </xf>
    <xf numFmtId="0" fontId="24" fillId="0" borderId="0"/>
    <xf numFmtId="0" fontId="18" fillId="0" borderId="0"/>
    <xf numFmtId="49" fontId="20" fillId="4" borderId="0" applyProtection="0">
      <alignment horizontal="right" wrapText="1"/>
    </xf>
    <xf numFmtId="43" fontId="36" fillId="0" borderId="0" applyFont="0" applyFill="0" applyBorder="0" applyAlignment="0" applyProtection="0"/>
    <xf numFmtId="0" fontId="15" fillId="5" borderId="3">
      <alignment vertical="center"/>
      <protection locked="0"/>
    </xf>
    <xf numFmtId="0" fontId="15" fillId="6" borderId="0">
      <protection locked="0"/>
    </xf>
    <xf numFmtId="0" fontId="15" fillId="0" borderId="0"/>
    <xf numFmtId="0" fontId="15" fillId="0" borderId="0"/>
    <xf numFmtId="0" fontId="18" fillId="0" borderId="0">
      <alignment horizontal="right"/>
    </xf>
    <xf numFmtId="0" fontId="17" fillId="0" borderId="0">
      <alignment horizontal="right"/>
    </xf>
    <xf numFmtId="0" fontId="17" fillId="0" borderId="0">
      <alignment horizontal="right"/>
    </xf>
    <xf numFmtId="0" fontId="20" fillId="0" borderId="0"/>
    <xf numFmtId="49" fontId="32" fillId="7" borderId="0" applyNumberFormat="0" applyFill="0" applyBorder="0" applyAlignment="0" applyProtection="0">
      <alignment horizontal="right"/>
    </xf>
    <xf numFmtId="0" fontId="20" fillId="0" borderId="0"/>
    <xf numFmtId="49" fontId="21" fillId="4" borderId="0" applyNumberFormat="0" applyFill="0" applyBorder="0" applyAlignment="0" applyProtection="0">
      <alignment horizontal="right"/>
    </xf>
    <xf numFmtId="0" fontId="5" fillId="0" borderId="0"/>
    <xf numFmtId="0" fontId="15" fillId="0" borderId="0"/>
    <xf numFmtId="0" fontId="17" fillId="0" borderId="0">
      <alignment horizontal="right"/>
    </xf>
    <xf numFmtId="0" fontId="17" fillId="0" borderId="0"/>
    <xf numFmtId="0" fontId="55" fillId="0" borderId="0" applyNumberFormat="0" applyFill="0" applyBorder="0" applyAlignment="0" applyProtection="0">
      <alignment vertical="top"/>
      <protection locked="0"/>
    </xf>
    <xf numFmtId="0" fontId="17" fillId="0" borderId="0"/>
    <xf numFmtId="0" fontId="70" fillId="0" borderId="0" applyNumberFormat="0" applyFill="0" applyBorder="0" applyAlignment="0" applyProtection="0">
      <alignment vertical="top"/>
      <protection locked="0"/>
    </xf>
    <xf numFmtId="0" fontId="71" fillId="0" borderId="0"/>
    <xf numFmtId="0" fontId="18" fillId="0" borderId="0">
      <alignment horizontal="left" vertical="center" wrapText="1"/>
    </xf>
    <xf numFmtId="0" fontId="18" fillId="0" borderId="0">
      <alignment horizontal="right"/>
    </xf>
    <xf numFmtId="0" fontId="68" fillId="0" borderId="0">
      <alignment horizontal="left" vertical="center" wrapText="1"/>
    </xf>
    <xf numFmtId="0" fontId="24" fillId="0" borderId="0"/>
    <xf numFmtId="0" fontId="17" fillId="0" borderId="0">
      <alignment horizontal="right"/>
    </xf>
    <xf numFmtId="0" fontId="20" fillId="0" borderId="0"/>
    <xf numFmtId="0" fontId="20" fillId="0" borderId="0"/>
    <xf numFmtId="0" fontId="36" fillId="0" borderId="0"/>
  </cellStyleXfs>
  <cellXfs count="598">
    <xf numFmtId="0" fontId="0" fillId="0" borderId="0" xfId="0"/>
    <xf numFmtId="0" fontId="3" fillId="2" borderId="0" xfId="0" applyFont="1" applyFill="1" applyAlignment="1">
      <alignment horizontal="center"/>
    </xf>
    <xf numFmtId="0" fontId="4" fillId="2" borderId="0" xfId="0" applyFont="1" applyFill="1" applyAlignment="1">
      <alignment horizontal="center"/>
    </xf>
    <xf numFmtId="0" fontId="0" fillId="2" borderId="0" xfId="0" applyFill="1" applyAlignment="1">
      <alignment horizontal="center"/>
    </xf>
    <xf numFmtId="0" fontId="8" fillId="2" borderId="0" xfId="0" applyFont="1" applyFill="1" applyAlignment="1">
      <alignment horizontal="center"/>
    </xf>
    <xf numFmtId="0" fontId="11" fillId="0" borderId="0" xfId="0" applyFont="1" applyAlignment="1">
      <alignment horizontal="left"/>
    </xf>
    <xf numFmtId="0" fontId="12" fillId="0" borderId="0" xfId="0" applyFont="1"/>
    <xf numFmtId="0" fontId="7" fillId="0" borderId="0" xfId="1"/>
    <xf numFmtId="0" fontId="0" fillId="0" borderId="0" xfId="0" applyAlignment="1">
      <alignment horizontal="center"/>
    </xf>
    <xf numFmtId="0" fontId="16" fillId="0" borderId="3" xfId="0" applyFont="1" applyBorder="1" applyAlignment="1">
      <alignment horizontal="left" wrapText="1"/>
    </xf>
    <xf numFmtId="0" fontId="21" fillId="0" borderId="5" xfId="0" applyFont="1" applyBorder="1" applyAlignment="1">
      <alignment horizontal="right"/>
    </xf>
    <xf numFmtId="0" fontId="17" fillId="0" borderId="4" xfId="2" applyFont="1" applyBorder="1"/>
    <xf numFmtId="164" fontId="16" fillId="0" borderId="4" xfId="0" applyNumberFormat="1" applyFont="1" applyBorder="1" applyAlignment="1">
      <alignment horizontal="center"/>
    </xf>
    <xf numFmtId="0" fontId="16" fillId="0" borderId="0" xfId="0" applyFont="1" applyAlignment="1">
      <alignment horizontal="right" wrapText="1"/>
    </xf>
    <xf numFmtId="0" fontId="16" fillId="0" borderId="0" xfId="2" applyFont="1"/>
    <xf numFmtId="165" fontId="23" fillId="0" borderId="0" xfId="0" applyNumberFormat="1" applyFont="1" applyAlignment="1">
      <alignment horizontal="right" wrapText="1"/>
    </xf>
    <xf numFmtId="0" fontId="16" fillId="2" borderId="5" xfId="0" applyFont="1" applyFill="1" applyBorder="1" applyAlignment="1">
      <alignment horizontal="left" wrapText="1"/>
    </xf>
    <xf numFmtId="0" fontId="16" fillId="0" borderId="0" xfId="4" applyFont="1" applyAlignment="1">
      <alignment horizontal="left" indent="1"/>
    </xf>
    <xf numFmtId="0" fontId="16" fillId="0" borderId="5" xfId="4" applyFont="1" applyBorder="1" applyAlignment="1">
      <alignment horizontal="left" indent="1"/>
    </xf>
    <xf numFmtId="0" fontId="0" fillId="0" borderId="0" xfId="0" applyAlignment="1">
      <alignment horizontal="left"/>
    </xf>
    <xf numFmtId="0" fontId="21" fillId="0" borderId="5" xfId="0" applyFont="1" applyBorder="1" applyAlignment="1">
      <alignment horizontal="center"/>
    </xf>
    <xf numFmtId="0" fontId="1" fillId="0" borderId="0" xfId="0" applyFont="1"/>
    <xf numFmtId="166" fontId="20" fillId="2" borderId="0" xfId="0" applyNumberFormat="1" applyFont="1" applyFill="1" applyAlignment="1">
      <alignment horizontal="center" vertical="center" wrapText="1"/>
    </xf>
    <xf numFmtId="49" fontId="25" fillId="2" borderId="0" xfId="0" applyNumberFormat="1" applyFont="1" applyFill="1" applyAlignment="1">
      <alignment horizontal="left"/>
    </xf>
    <xf numFmtId="0" fontId="14" fillId="0" borderId="0" xfId="0" applyFont="1"/>
    <xf numFmtId="0" fontId="2" fillId="0" borderId="0" xfId="0" applyFont="1" applyAlignment="1">
      <alignment horizontal="center"/>
    </xf>
    <xf numFmtId="0" fontId="28" fillId="3" borderId="3" xfId="0" applyFont="1" applyFill="1" applyBorder="1" applyAlignment="1">
      <alignment vertical="center"/>
    </xf>
    <xf numFmtId="0" fontId="0" fillId="0" borderId="0" xfId="0" applyAlignment="1">
      <alignment horizontal="right"/>
    </xf>
    <xf numFmtId="0" fontId="28" fillId="3" borderId="0" xfId="0" applyFont="1" applyFill="1" applyAlignment="1">
      <alignment horizontal="left" vertical="center"/>
    </xf>
    <xf numFmtId="0" fontId="29" fillId="0" borderId="0" xfId="0" applyFont="1"/>
    <xf numFmtId="0" fontId="29" fillId="0" borderId="0" xfId="0" applyFont="1" applyAlignment="1">
      <alignment horizontal="center"/>
    </xf>
    <xf numFmtId="49" fontId="30" fillId="2" borderId="0" xfId="6" quotePrefix="1" applyFont="1" applyFill="1">
      <alignment horizontal="right" wrapText="1"/>
    </xf>
    <xf numFmtId="49" fontId="30" fillId="2" borderId="0" xfId="6" quotePrefix="1" applyFont="1" applyFill="1" applyAlignment="1">
      <alignment horizontal="left" wrapText="1"/>
    </xf>
    <xf numFmtId="3" fontId="30" fillId="2" borderId="0" xfId="6" quotePrefix="1" applyNumberFormat="1" applyFont="1" applyFill="1" applyAlignment="1">
      <alignment horizontal="center" wrapText="1"/>
    </xf>
    <xf numFmtId="166" fontId="31" fillId="2" borderId="0" xfId="0" applyNumberFormat="1" applyFont="1" applyFill="1" applyAlignment="1">
      <alignment horizontal="center" vertical="center" wrapText="1"/>
    </xf>
    <xf numFmtId="0" fontId="31" fillId="0" borderId="0" xfId="0" applyFont="1"/>
    <xf numFmtId="0" fontId="28" fillId="3" borderId="5" xfId="0" applyFont="1" applyFill="1" applyBorder="1" applyAlignment="1">
      <alignment horizontal="left" vertical="center"/>
    </xf>
    <xf numFmtId="0" fontId="21" fillId="3" borderId="3" xfId="0" applyFont="1" applyFill="1" applyBorder="1" applyAlignment="1">
      <alignment horizontal="left" vertical="center" wrapText="1"/>
    </xf>
    <xf numFmtId="0" fontId="32" fillId="0" borderId="0" xfId="0" applyFont="1" applyAlignment="1">
      <alignment vertical="center" wrapText="1"/>
    </xf>
    <xf numFmtId="0" fontId="33" fillId="3" borderId="0" xfId="0" applyFont="1" applyFill="1" applyAlignment="1">
      <alignment vertical="center" wrapText="1"/>
    </xf>
    <xf numFmtId="49" fontId="17" fillId="2" borderId="0" xfId="6" quotePrefix="1" applyFont="1" applyFill="1">
      <alignment horizontal="right" wrapText="1"/>
    </xf>
    <xf numFmtId="3" fontId="17" fillId="2" borderId="0" xfId="6" quotePrefix="1" applyNumberFormat="1" applyFont="1" applyFill="1" applyAlignment="1">
      <alignment horizontal="center" wrapText="1"/>
    </xf>
    <xf numFmtId="0" fontId="20" fillId="0" borderId="0" xfId="0" applyFont="1"/>
    <xf numFmtId="49" fontId="34" fillId="0" borderId="0" xfId="0" applyNumberFormat="1" applyFont="1" applyAlignment="1">
      <alignment vertical="center"/>
    </xf>
    <xf numFmtId="0" fontId="34" fillId="0" borderId="0" xfId="0" applyFont="1" applyAlignment="1">
      <alignment vertical="center"/>
    </xf>
    <xf numFmtId="49" fontId="35" fillId="0" borderId="0" xfId="0" applyNumberFormat="1" applyFont="1" applyAlignment="1">
      <alignment horizontal="left"/>
    </xf>
    <xf numFmtId="49" fontId="13" fillId="0" borderId="0" xfId="0" applyNumberFormat="1" applyFont="1" applyAlignment="1">
      <alignment horizontal="left"/>
    </xf>
    <xf numFmtId="0" fontId="35" fillId="0" borderId="0" xfId="0" applyFont="1" applyAlignment="1">
      <alignment horizontal="left"/>
    </xf>
    <xf numFmtId="0" fontId="13" fillId="0" borderId="0" xfId="0" applyFont="1" applyAlignment="1">
      <alignment horizontal="left"/>
    </xf>
    <xf numFmtId="49" fontId="35" fillId="0" borderId="0" xfId="0" applyNumberFormat="1" applyFont="1"/>
    <xf numFmtId="0" fontId="13" fillId="0" borderId="0" xfId="0" applyFont="1"/>
    <xf numFmtId="167" fontId="31" fillId="0" borderId="0" xfId="0" applyNumberFormat="1" applyFont="1" applyAlignment="1">
      <alignment horizontal="left"/>
    </xf>
    <xf numFmtId="0" fontId="13" fillId="0" borderId="0" xfId="0" applyFont="1" applyAlignment="1">
      <alignment horizontal="left" vertical="center" wrapText="1"/>
    </xf>
    <xf numFmtId="0" fontId="28" fillId="2" borderId="0" xfId="0" applyFont="1" applyFill="1" applyAlignment="1">
      <alignment horizontal="left" wrapText="1"/>
    </xf>
    <xf numFmtId="0" fontId="28" fillId="2" borderId="5" xfId="0" applyFont="1" applyFill="1" applyBorder="1" applyAlignment="1">
      <alignment horizontal="left" wrapText="1"/>
    </xf>
    <xf numFmtId="0" fontId="28" fillId="2" borderId="0" xfId="0" applyFont="1" applyFill="1" applyAlignment="1">
      <alignment horizontal="right" wrapText="1"/>
    </xf>
    <xf numFmtId="0" fontId="0" fillId="2" borderId="0" xfId="0" applyFill="1"/>
    <xf numFmtId="0" fontId="23" fillId="2" borderId="0" xfId="0" applyFont="1" applyFill="1" applyAlignment="1">
      <alignment horizontal="left" wrapText="1"/>
    </xf>
    <xf numFmtId="167" fontId="17" fillId="2" borderId="0" xfId="0" applyNumberFormat="1" applyFont="1" applyFill="1" applyAlignment="1">
      <alignment horizontal="right" wrapText="1"/>
    </xf>
    <xf numFmtId="0" fontId="23" fillId="2" borderId="0" xfId="2" applyFont="1" applyFill="1" applyAlignment="1">
      <alignment horizontal="left" vertical="top"/>
    </xf>
    <xf numFmtId="0" fontId="20" fillId="2" borderId="0" xfId="0" applyFont="1" applyFill="1" applyAlignment="1">
      <alignment horizontal="left"/>
    </xf>
    <xf numFmtId="49" fontId="17" fillId="0" borderId="0" xfId="0" applyNumberFormat="1" applyFont="1"/>
    <xf numFmtId="0" fontId="17" fillId="0" borderId="0" xfId="0" applyFont="1"/>
    <xf numFmtId="0" fontId="23" fillId="2" borderId="0" xfId="2" applyFont="1" applyFill="1" applyAlignment="1">
      <alignment vertical="top"/>
    </xf>
    <xf numFmtId="0" fontId="23" fillId="2" borderId="0" xfId="0" applyFont="1" applyFill="1" applyAlignment="1">
      <alignment horizontal="left"/>
    </xf>
    <xf numFmtId="0" fontId="23" fillId="2" borderId="0" xfId="2" applyFont="1" applyFill="1" applyAlignment="1">
      <alignment horizontal="left" vertical="top" indent="2"/>
    </xf>
    <xf numFmtId="0" fontId="22" fillId="0" borderId="0" xfId="0" applyFont="1"/>
    <xf numFmtId="0" fontId="20" fillId="0" borderId="0" xfId="0" applyFont="1" applyAlignment="1">
      <alignment vertical="center" wrapText="1"/>
    </xf>
    <xf numFmtId="166" fontId="33" fillId="3" borderId="0" xfId="0" applyNumberFormat="1" applyFont="1" applyFill="1" applyAlignment="1">
      <alignment horizontal="left" vertical="center" wrapText="1"/>
    </xf>
    <xf numFmtId="164" fontId="17" fillId="0" borderId="0" xfId="0" applyNumberFormat="1" applyFont="1"/>
    <xf numFmtId="0" fontId="23" fillId="2" borderId="0" xfId="2" applyFont="1" applyFill="1" applyAlignment="1">
      <alignment horizontal="left"/>
    </xf>
    <xf numFmtId="0" fontId="16" fillId="0" borderId="3" xfId="0" applyFont="1" applyBorder="1" applyAlignment="1">
      <alignment horizontal="center" wrapText="1"/>
    </xf>
    <xf numFmtId="0" fontId="16" fillId="0" borderId="0" xfId="0" applyFont="1" applyAlignment="1">
      <alignment horizontal="center" wrapText="1"/>
    </xf>
    <xf numFmtId="0" fontId="28" fillId="2" borderId="3" xfId="0" applyFont="1" applyFill="1" applyBorder="1" applyAlignment="1">
      <alignment horizontal="center" wrapText="1"/>
    </xf>
    <xf numFmtId="0" fontId="28" fillId="2" borderId="7" xfId="0" applyFont="1" applyFill="1" applyBorder="1" applyAlignment="1">
      <alignment horizontal="center" wrapText="1"/>
    </xf>
    <xf numFmtId="0" fontId="23" fillId="2" borderId="0" xfId="2" applyFont="1" applyFill="1" applyAlignment="1">
      <alignment horizontal="left" vertical="top" wrapText="1"/>
    </xf>
    <xf numFmtId="0" fontId="28" fillId="2" borderId="5" xfId="0" applyFont="1" applyFill="1" applyBorder="1" applyAlignment="1">
      <alignment horizontal="center" wrapText="1"/>
    </xf>
    <xf numFmtId="0" fontId="28" fillId="2" borderId="6" xfId="0" applyFont="1" applyFill="1" applyBorder="1" applyAlignment="1">
      <alignment horizontal="center" wrapText="1"/>
    </xf>
    <xf numFmtId="0" fontId="16" fillId="0" borderId="0" xfId="2" applyFont="1" applyAlignment="1">
      <alignment horizontal="center"/>
    </xf>
    <xf numFmtId="0" fontId="17" fillId="0" borderId="0" xfId="0" applyFont="1" applyAlignment="1">
      <alignment horizontal="left"/>
    </xf>
    <xf numFmtId="0" fontId="19" fillId="2" borderId="0" xfId="0" applyFont="1" applyFill="1" applyAlignment="1">
      <alignment horizontal="left"/>
    </xf>
    <xf numFmtId="0" fontId="28" fillId="2" borderId="0" xfId="0" applyFont="1" applyFill="1" applyAlignment="1">
      <alignment horizontal="center" wrapText="1"/>
    </xf>
    <xf numFmtId="0" fontId="23" fillId="2" borderId="0" xfId="2" applyFont="1" applyFill="1" applyAlignment="1">
      <alignment horizontal="left" indent="2"/>
    </xf>
    <xf numFmtId="9" fontId="28" fillId="2" borderId="0" xfId="0" applyNumberFormat="1" applyFont="1" applyFill="1" applyAlignment="1">
      <alignment horizontal="center" wrapText="1"/>
    </xf>
    <xf numFmtId="0" fontId="16" fillId="0" borderId="5" xfId="0" applyFont="1" applyBorder="1" applyAlignment="1">
      <alignment horizontal="center" wrapText="1"/>
    </xf>
    <xf numFmtId="0" fontId="13" fillId="0" borderId="0" xfId="0" applyFont="1" applyAlignment="1">
      <alignment vertical="center"/>
    </xf>
    <xf numFmtId="0" fontId="17" fillId="0" borderId="0" xfId="0" applyFont="1" applyAlignment="1">
      <alignment wrapText="1"/>
    </xf>
    <xf numFmtId="0" fontId="20" fillId="0" borderId="0" xfId="0" applyFont="1" applyAlignment="1">
      <alignment horizontal="center"/>
    </xf>
    <xf numFmtId="0" fontId="43" fillId="0" borderId="0" xfId="0" applyFont="1"/>
    <xf numFmtId="0" fontId="44" fillId="0" borderId="0" xfId="1" applyFont="1"/>
    <xf numFmtId="0" fontId="44" fillId="2" borderId="0" xfId="1" applyNumberFormat="1" applyFont="1" applyFill="1" applyBorder="1" applyAlignment="1" applyProtection="1">
      <alignment horizontal="left" vertical="top"/>
    </xf>
    <xf numFmtId="0" fontId="23" fillId="2" borderId="5" xfId="2" applyFont="1" applyFill="1" applyBorder="1" applyAlignment="1">
      <alignment horizontal="left" vertical="top" indent="2"/>
    </xf>
    <xf numFmtId="0" fontId="21" fillId="0" borderId="0" xfId="0" applyFont="1" applyAlignment="1">
      <alignment horizontal="center"/>
    </xf>
    <xf numFmtId="2" fontId="0" fillId="0" borderId="0" xfId="0" applyNumberFormat="1"/>
    <xf numFmtId="167" fontId="0" fillId="0" borderId="0" xfId="0" applyNumberFormat="1"/>
    <xf numFmtId="167" fontId="20" fillId="0" borderId="0" xfId="0" applyNumberFormat="1" applyFont="1" applyAlignment="1">
      <alignment horizontal="center"/>
    </xf>
    <xf numFmtId="0" fontId="28" fillId="2" borderId="5" xfId="2" applyFont="1" applyFill="1" applyBorder="1" applyAlignment="1">
      <alignment horizontal="left"/>
    </xf>
    <xf numFmtId="0" fontId="28" fillId="2" borderId="5" xfId="2" applyFont="1" applyFill="1" applyBorder="1" applyAlignment="1">
      <alignment horizontal="left" indent="2"/>
    </xf>
    <xf numFmtId="167" fontId="20" fillId="0" borderId="5" xfId="0" applyNumberFormat="1" applyFont="1" applyBorder="1" applyAlignment="1">
      <alignment horizontal="center"/>
    </xf>
    <xf numFmtId="0" fontId="23" fillId="2" borderId="0" xfId="2" applyFont="1" applyFill="1"/>
    <xf numFmtId="0" fontId="28" fillId="0" borderId="0" xfId="2" applyFont="1" applyAlignment="1">
      <alignment horizontal="left" vertical="top"/>
    </xf>
    <xf numFmtId="0" fontId="17" fillId="2" borderId="0" xfId="0" applyFont="1" applyFill="1" applyAlignment="1">
      <alignment horizontal="left" wrapText="1"/>
    </xf>
    <xf numFmtId="0" fontId="23" fillId="2" borderId="0" xfId="2" applyFont="1" applyFill="1" applyAlignment="1">
      <alignment horizontal="left" wrapText="1"/>
    </xf>
    <xf numFmtId="0" fontId="38" fillId="2" borderId="0" xfId="2" applyFont="1" applyFill="1"/>
    <xf numFmtId="49" fontId="17" fillId="0" borderId="0" xfId="0" applyNumberFormat="1" applyFont="1" applyAlignment="1">
      <alignment horizontal="left"/>
    </xf>
    <xf numFmtId="0" fontId="0" fillId="0" borderId="0" xfId="0" applyAlignment="1">
      <alignment horizontal="left" wrapText="1"/>
    </xf>
    <xf numFmtId="0" fontId="23" fillId="3" borderId="0" xfId="0" applyFont="1" applyFill="1"/>
    <xf numFmtId="165" fontId="23" fillId="3" borderId="0" xfId="0" applyNumberFormat="1" applyFont="1" applyFill="1" applyAlignment="1">
      <alignment horizontal="center"/>
    </xf>
    <xf numFmtId="164" fontId="17" fillId="0" borderId="0" xfId="5" applyNumberFormat="1" applyFont="1" applyAlignment="1">
      <alignment horizontal="center"/>
    </xf>
    <xf numFmtId="164" fontId="17" fillId="0" borderId="5" xfId="5" applyNumberFormat="1" applyFont="1" applyBorder="1" applyAlignment="1">
      <alignment horizontal="center"/>
    </xf>
    <xf numFmtId="0" fontId="19" fillId="0" borderId="0" xfId="0" applyFont="1"/>
    <xf numFmtId="166" fontId="39" fillId="3" borderId="0" xfId="0" applyNumberFormat="1" applyFont="1" applyFill="1" applyAlignment="1">
      <alignment horizontal="right" wrapText="1"/>
    </xf>
    <xf numFmtId="0" fontId="5" fillId="0" borderId="0" xfId="0" applyFont="1"/>
    <xf numFmtId="0" fontId="6" fillId="0" borderId="0" xfId="0" applyFont="1" applyAlignment="1">
      <alignment horizontal="center"/>
    </xf>
    <xf numFmtId="0" fontId="7" fillId="0" borderId="0" xfId="1" applyFill="1" applyBorder="1" applyAlignment="1">
      <alignment horizontal="center" vertical="top"/>
    </xf>
    <xf numFmtId="0" fontId="5" fillId="0" borderId="0" xfId="0" applyFont="1" applyAlignment="1">
      <alignment vertical="center"/>
    </xf>
    <xf numFmtId="0" fontId="10" fillId="0" borderId="0" xfId="0" applyFont="1" applyAlignment="1">
      <alignment horizontal="left"/>
    </xf>
    <xf numFmtId="0" fontId="9" fillId="0" borderId="0" xfId="0" applyFont="1" applyAlignment="1">
      <alignment horizontal="left" vertical="center"/>
    </xf>
    <xf numFmtId="166" fontId="23" fillId="3" borderId="0" xfId="0" applyNumberFormat="1" applyFont="1" applyFill="1" applyAlignment="1">
      <alignment horizontal="center"/>
    </xf>
    <xf numFmtId="166" fontId="23" fillId="3" borderId="5" xfId="0" applyNumberFormat="1" applyFont="1" applyFill="1" applyBorder="1" applyAlignment="1">
      <alignment horizontal="center"/>
    </xf>
    <xf numFmtId="0" fontId="21" fillId="3" borderId="3" xfId="0" applyFont="1" applyFill="1" applyBorder="1" applyAlignment="1">
      <alignment horizontal="center" vertical="center" wrapText="1"/>
    </xf>
    <xf numFmtId="49" fontId="17" fillId="0" borderId="0" xfId="0" applyNumberFormat="1" applyFont="1" applyAlignment="1">
      <alignment horizontal="left" wrapText="1"/>
    </xf>
    <xf numFmtId="0" fontId="17" fillId="0" borderId="0" xfId="0" applyFont="1" applyAlignment="1">
      <alignment horizontal="left" wrapText="1"/>
    </xf>
    <xf numFmtId="0" fontId="0" fillId="0" borderId="0" xfId="0" applyAlignment="1">
      <alignment wrapText="1"/>
    </xf>
    <xf numFmtId="0" fontId="26" fillId="2" borderId="0" xfId="1" applyNumberFormat="1" applyFont="1" applyFill="1" applyBorder="1" applyAlignment="1" applyProtection="1">
      <alignment horizontal="left"/>
    </xf>
    <xf numFmtId="167" fontId="17" fillId="2" borderId="0" xfId="0" applyNumberFormat="1" applyFont="1" applyFill="1" applyAlignment="1">
      <alignment horizontal="center" vertical="center" wrapText="1"/>
    </xf>
    <xf numFmtId="167" fontId="17" fillId="0" borderId="0" xfId="2" applyNumberFormat="1" applyFont="1" applyAlignment="1">
      <alignment horizontal="center" vertical="center"/>
    </xf>
    <xf numFmtId="167" fontId="17" fillId="2" borderId="5" xfId="0" applyNumberFormat="1" applyFont="1" applyFill="1" applyBorder="1" applyAlignment="1">
      <alignment horizontal="center" vertical="center" wrapText="1"/>
    </xf>
    <xf numFmtId="167" fontId="17" fillId="0" borderId="5" xfId="2" applyNumberFormat="1" applyFont="1" applyBorder="1" applyAlignment="1">
      <alignment horizontal="center" vertical="center"/>
    </xf>
    <xf numFmtId="167" fontId="17" fillId="2" borderId="0" xfId="0" applyNumberFormat="1" applyFont="1" applyFill="1" applyAlignment="1">
      <alignment horizontal="right" vertical="center" wrapText="1"/>
    </xf>
    <xf numFmtId="0" fontId="28" fillId="2" borderId="0" xfId="2" applyFont="1" applyFill="1" applyAlignment="1">
      <alignment horizontal="left" vertical="center"/>
    </xf>
    <xf numFmtId="0" fontId="23" fillId="2" borderId="0" xfId="2" applyFont="1" applyFill="1" applyAlignment="1">
      <alignment horizontal="left" vertical="center" indent="2"/>
    </xf>
    <xf numFmtId="0" fontId="23" fillId="2" borderId="0" xfId="2" applyFont="1" applyFill="1" applyAlignment="1">
      <alignment horizontal="left" vertical="center"/>
    </xf>
    <xf numFmtId="0" fontId="23" fillId="2" borderId="5" xfId="2" applyFont="1" applyFill="1" applyBorder="1" applyAlignment="1">
      <alignment horizontal="left" vertical="center" indent="2"/>
    </xf>
    <xf numFmtId="0" fontId="28" fillId="2" borderId="0" xfId="0" applyFont="1" applyFill="1" applyAlignment="1">
      <alignment horizontal="center" vertical="center" wrapText="1"/>
    </xf>
    <xf numFmtId="167" fontId="17" fillId="2" borderId="0" xfId="0" applyNumberFormat="1" applyFont="1" applyFill="1" applyAlignment="1">
      <alignment vertical="center" wrapText="1"/>
    </xf>
    <xf numFmtId="167" fontId="17" fillId="0" borderId="0" xfId="0" applyNumberFormat="1" applyFont="1" applyAlignment="1">
      <alignment horizontal="center" vertical="center"/>
    </xf>
    <xf numFmtId="164" fontId="17" fillId="0" borderId="0" xfId="0" applyNumberFormat="1" applyFont="1" applyAlignment="1">
      <alignment horizontal="center" vertical="center"/>
    </xf>
    <xf numFmtId="0" fontId="16" fillId="0" borderId="0" xfId="0" applyFont="1" applyAlignment="1">
      <alignment horizontal="center" vertical="center" wrapText="1"/>
    </xf>
    <xf numFmtId="0" fontId="28" fillId="0" borderId="0" xfId="2" applyFont="1" applyAlignment="1">
      <alignment horizontal="left" vertical="center"/>
    </xf>
    <xf numFmtId="0" fontId="23" fillId="0" borderId="0" xfId="2" applyFont="1" applyAlignment="1">
      <alignment horizontal="left" vertical="center" indent="2"/>
    </xf>
    <xf numFmtId="167" fontId="23" fillId="2" borderId="0" xfId="0" applyNumberFormat="1" applyFont="1" applyFill="1" applyAlignment="1">
      <alignment horizontal="center" vertical="center" wrapText="1"/>
    </xf>
    <xf numFmtId="0" fontId="20" fillId="0" borderId="0" xfId="0" applyFont="1" applyAlignment="1">
      <alignment vertical="center"/>
    </xf>
    <xf numFmtId="164" fontId="17" fillId="0" borderId="0" xfId="2" applyNumberFormat="1" applyFont="1" applyAlignment="1">
      <alignment horizontal="center" vertical="center"/>
    </xf>
    <xf numFmtId="167" fontId="17" fillId="0" borderId="0" xfId="2" applyNumberFormat="1" applyFont="1" applyAlignment="1">
      <alignment horizontal="center" vertical="center" wrapText="1"/>
    </xf>
    <xf numFmtId="0" fontId="20" fillId="0" borderId="0" xfId="0" applyFont="1" applyAlignment="1">
      <alignment wrapText="1"/>
    </xf>
    <xf numFmtId="0" fontId="26" fillId="0" borderId="0" xfId="1" applyFont="1" applyBorder="1" applyAlignment="1">
      <alignment horizontal="center" vertical="center"/>
    </xf>
    <xf numFmtId="0" fontId="45" fillId="0" borderId="0" xfId="1" applyFont="1" applyBorder="1"/>
    <xf numFmtId="0" fontId="45" fillId="0" borderId="0" xfId="1" applyFont="1"/>
    <xf numFmtId="0" fontId="46" fillId="0" borderId="0" xfId="0" applyFont="1"/>
    <xf numFmtId="0" fontId="21" fillId="0" borderId="0" xfId="0" applyFont="1"/>
    <xf numFmtId="0" fontId="28" fillId="2" borderId="5" xfId="2" applyFont="1" applyFill="1" applyBorder="1" applyAlignment="1">
      <alignment horizontal="left" vertical="center"/>
    </xf>
    <xf numFmtId="0" fontId="21" fillId="0" borderId="5" xfId="0" applyFont="1" applyBorder="1" applyAlignment="1">
      <alignment horizontal="center" vertical="center"/>
    </xf>
    <xf numFmtId="0" fontId="45" fillId="3" borderId="0" xfId="1" applyNumberFormat="1" applyFont="1" applyFill="1" applyBorder="1" applyAlignment="1" applyProtection="1">
      <alignment horizontal="left" vertical="center"/>
    </xf>
    <xf numFmtId="0" fontId="47" fillId="0" borderId="0" xfId="0" applyFont="1" applyAlignment="1">
      <alignment horizontal="center"/>
    </xf>
    <xf numFmtId="0" fontId="48" fillId="0" borderId="0" xfId="0" applyFont="1"/>
    <xf numFmtId="166" fontId="5" fillId="2" borderId="0" xfId="0" applyNumberFormat="1" applyFont="1" applyFill="1" applyAlignment="1">
      <alignment horizontal="center" vertical="center" wrapText="1"/>
    </xf>
    <xf numFmtId="49" fontId="43" fillId="0" borderId="0" xfId="0" applyNumberFormat="1" applyFont="1" applyAlignment="1">
      <alignment wrapText="1"/>
    </xf>
    <xf numFmtId="0" fontId="51" fillId="0" borderId="0" xfId="0" applyFont="1"/>
    <xf numFmtId="49" fontId="43" fillId="0" borderId="0" xfId="0" applyNumberFormat="1" applyFont="1"/>
    <xf numFmtId="0" fontId="49" fillId="0" borderId="0" xfId="1" applyFont="1" applyAlignment="1">
      <alignment vertical="center"/>
    </xf>
    <xf numFmtId="0" fontId="49" fillId="0" borderId="0" xfId="1" applyFont="1" applyAlignment="1">
      <alignment vertical="center" wrapText="1"/>
    </xf>
    <xf numFmtId="0" fontId="49" fillId="0" borderId="0" xfId="1" applyFont="1" applyAlignment="1">
      <alignment wrapText="1"/>
    </xf>
    <xf numFmtId="49" fontId="17" fillId="2" borderId="0" xfId="6" quotePrefix="1" applyFont="1" applyFill="1" applyAlignment="1">
      <alignment horizontal="left" vertical="top" wrapText="1"/>
    </xf>
    <xf numFmtId="3" fontId="17" fillId="2" borderId="0" xfId="6" quotePrefix="1" applyNumberFormat="1" applyFont="1" applyFill="1" applyAlignment="1">
      <alignment horizontal="right" vertical="top" wrapText="1"/>
    </xf>
    <xf numFmtId="166" fontId="17" fillId="2" borderId="0" xfId="6" applyNumberFormat="1" applyFont="1" applyFill="1" applyAlignment="1">
      <alignment horizontal="right" vertical="top" wrapText="1"/>
    </xf>
    <xf numFmtId="49" fontId="17" fillId="2" borderId="0" xfId="6" applyFont="1" applyFill="1" applyAlignment="1">
      <alignment horizontal="left" vertical="top" wrapText="1"/>
    </xf>
    <xf numFmtId="3" fontId="17" fillId="2" borderId="0" xfId="6" applyNumberFormat="1" applyFont="1" applyFill="1" applyAlignment="1">
      <alignment horizontal="right" vertical="top" wrapText="1"/>
    </xf>
    <xf numFmtId="49" fontId="17" fillId="2" borderId="5" xfId="6" quotePrefix="1" applyFont="1" applyFill="1" applyBorder="1" applyAlignment="1">
      <alignment horizontal="left" vertical="top" wrapText="1"/>
    </xf>
    <xf numFmtId="49" fontId="16" fillId="2" borderId="3" xfId="18" applyFont="1" applyFill="1" applyBorder="1" applyAlignment="1">
      <alignment horizontal="left" wrapText="1"/>
    </xf>
    <xf numFmtId="49" fontId="16" fillId="2" borderId="6" xfId="18" applyNumberFormat="1" applyFont="1" applyFill="1" applyBorder="1" applyAlignment="1">
      <alignment horizontal="left" wrapText="1"/>
    </xf>
    <xf numFmtId="49" fontId="16" fillId="2" borderId="0" xfId="18" applyNumberFormat="1" applyFont="1" applyFill="1" applyBorder="1" applyAlignment="1">
      <alignment horizontal="left" vertical="top" wrapText="1"/>
    </xf>
    <xf numFmtId="3" fontId="16" fillId="2" borderId="0" xfId="18" applyNumberFormat="1" applyFont="1" applyFill="1" applyBorder="1" applyAlignment="1">
      <alignment horizontal="right" vertical="top" wrapText="1"/>
    </xf>
    <xf numFmtId="166" fontId="17" fillId="2" borderId="0" xfId="6" quotePrefix="1" applyNumberFormat="1" applyFont="1" applyFill="1" applyAlignment="1">
      <alignment horizontal="right" vertical="top" wrapText="1"/>
    </xf>
    <xf numFmtId="49" fontId="16" fillId="2" borderId="0" xfId="6" quotePrefix="1" applyFont="1" applyFill="1" applyAlignment="1">
      <alignment horizontal="left" vertical="top" wrapText="1"/>
    </xf>
    <xf numFmtId="3" fontId="16" fillId="2" borderId="0" xfId="6" quotePrefix="1" applyNumberFormat="1" applyFont="1" applyFill="1" applyAlignment="1">
      <alignment horizontal="right" vertical="top" wrapText="1"/>
    </xf>
    <xf numFmtId="166" fontId="16" fillId="2" borderId="0" xfId="6" quotePrefix="1" applyNumberFormat="1" applyFont="1" applyFill="1" applyAlignment="1">
      <alignment horizontal="right" vertical="top" wrapText="1"/>
    </xf>
    <xf numFmtId="3" fontId="16" fillId="2" borderId="0" xfId="6" applyNumberFormat="1" applyFont="1" applyFill="1" applyAlignment="1">
      <alignment horizontal="right" vertical="top" wrapText="1"/>
    </xf>
    <xf numFmtId="166" fontId="16" fillId="2" borderId="0" xfId="6" applyNumberFormat="1" applyFont="1" applyFill="1" applyAlignment="1">
      <alignment horizontal="right" vertical="top" wrapText="1"/>
    </xf>
    <xf numFmtId="49" fontId="22" fillId="2" borderId="0" xfId="6" quotePrefix="1" applyFont="1" applyFill="1" applyAlignment="1">
      <alignment horizontal="left" vertical="top" wrapText="1"/>
    </xf>
    <xf numFmtId="3" fontId="22" fillId="2" borderId="0" xfId="6" quotePrefix="1" applyNumberFormat="1" applyFont="1" applyFill="1" applyAlignment="1">
      <alignment horizontal="right" vertical="top" wrapText="1"/>
    </xf>
    <xf numFmtId="166" fontId="22" fillId="2" borderId="0" xfId="6" quotePrefix="1" applyNumberFormat="1" applyFont="1" applyFill="1" applyAlignment="1">
      <alignment horizontal="right" vertical="top" wrapText="1"/>
    </xf>
    <xf numFmtId="3" fontId="22" fillId="2" borderId="0" xfId="6" applyNumberFormat="1" applyFont="1" applyFill="1" applyAlignment="1">
      <alignment horizontal="right" vertical="top" wrapText="1"/>
    </xf>
    <xf numFmtId="166" fontId="22" fillId="2" borderId="0" xfId="6" applyNumberFormat="1" applyFont="1" applyFill="1" applyAlignment="1">
      <alignment horizontal="right" vertical="top" wrapText="1"/>
    </xf>
    <xf numFmtId="49" fontId="53" fillId="2" borderId="0" xfId="0" applyNumberFormat="1" applyFont="1" applyFill="1" applyAlignment="1">
      <alignment horizontal="left"/>
    </xf>
    <xf numFmtId="49" fontId="17" fillId="2" borderId="0" xfId="0" applyNumberFormat="1" applyFont="1" applyFill="1"/>
    <xf numFmtId="166" fontId="33" fillId="3" borderId="0" xfId="0" applyNumberFormat="1" applyFont="1" applyFill="1" applyAlignment="1">
      <alignment horizontal="right" vertical="center" wrapText="1"/>
    </xf>
    <xf numFmtId="165" fontId="17" fillId="0" borderId="0" xfId="0" applyNumberFormat="1" applyFont="1" applyAlignment="1">
      <alignment horizontal="center" wrapText="1"/>
    </xf>
    <xf numFmtId="165" fontId="23" fillId="0" borderId="0" xfId="0" applyNumberFormat="1" applyFont="1" applyAlignment="1">
      <alignment horizontal="center" wrapText="1"/>
    </xf>
    <xf numFmtId="167" fontId="23" fillId="0" borderId="0" xfId="7" applyNumberFormat="1" applyFont="1" applyFill="1" applyBorder="1" applyAlignment="1" applyProtection="1">
      <alignment horizontal="center"/>
    </xf>
    <xf numFmtId="165" fontId="28" fillId="0" borderId="0" xfId="0" applyNumberFormat="1" applyFont="1" applyAlignment="1">
      <alignment horizontal="right" wrapText="1"/>
    </xf>
    <xf numFmtId="0" fontId="16" fillId="0" borderId="0" xfId="0" applyFont="1" applyAlignment="1">
      <alignment horizontal="left" wrapText="1"/>
    </xf>
    <xf numFmtId="0" fontId="27" fillId="0" borderId="0" xfId="0" applyFont="1"/>
    <xf numFmtId="166" fontId="39" fillId="3" borderId="0" xfId="0" applyNumberFormat="1" applyFont="1" applyFill="1" applyAlignment="1">
      <alignment horizontal="right" vertical="center" wrapText="1"/>
    </xf>
    <xf numFmtId="166" fontId="39" fillId="3" borderId="5" xfId="0" applyNumberFormat="1" applyFont="1" applyFill="1" applyBorder="1" applyAlignment="1">
      <alignment horizontal="left" vertical="center" wrapText="1"/>
    </xf>
    <xf numFmtId="0" fontId="20" fillId="0" borderId="0" xfId="0" applyFont="1" applyAlignment="1">
      <alignment horizontal="left" vertical="center" wrapText="1"/>
    </xf>
    <xf numFmtId="0" fontId="16" fillId="0" borderId="3" xfId="0" applyFont="1" applyBorder="1" applyAlignment="1">
      <alignment horizontal="center" vertical="center"/>
    </xf>
    <xf numFmtId="0" fontId="54" fillId="0" borderId="0" xfId="0" applyFont="1"/>
    <xf numFmtId="0" fontId="17" fillId="2" borderId="0" xfId="0" applyFont="1" applyFill="1" applyAlignment="1">
      <alignment horizontal="center" vertical="center" wrapText="1"/>
    </xf>
    <xf numFmtId="0" fontId="15" fillId="0" borderId="0" xfId="1" applyFont="1" applyAlignment="1"/>
    <xf numFmtId="0" fontId="15" fillId="0" borderId="0" xfId="1" applyFont="1"/>
    <xf numFmtId="0" fontId="55" fillId="0" borderId="0" xfId="1" applyFont="1"/>
    <xf numFmtId="0" fontId="15" fillId="0" borderId="0" xfId="1" applyFont="1" applyAlignment="1">
      <alignment horizontal="left"/>
    </xf>
    <xf numFmtId="0" fontId="15" fillId="0" borderId="0" xfId="0" applyFont="1"/>
    <xf numFmtId="0" fontId="56" fillId="0" borderId="0" xfId="0" applyFont="1" applyAlignment="1">
      <alignment horizontal="center" vertical="center" wrapText="1"/>
    </xf>
    <xf numFmtId="0" fontId="56" fillId="0" borderId="0" xfId="0" applyFont="1" applyAlignment="1">
      <alignment horizontal="center" wrapText="1"/>
    </xf>
    <xf numFmtId="0" fontId="15" fillId="2" borderId="0" xfId="0" applyFont="1" applyFill="1" applyAlignment="1">
      <alignment horizontal="center" vertical="center" wrapText="1"/>
    </xf>
    <xf numFmtId="0" fontId="15" fillId="0" borderId="0" xfId="0" applyFont="1" applyAlignment="1">
      <alignment horizontal="left" wrapText="1"/>
    </xf>
    <xf numFmtId="0" fontId="56" fillId="0" borderId="0" xfId="0" applyFont="1"/>
    <xf numFmtId="0" fontId="17" fillId="2" borderId="0" xfId="0" applyFont="1" applyFill="1" applyAlignment="1">
      <alignment horizontal="center" vertical="center"/>
    </xf>
    <xf numFmtId="167" fontId="17" fillId="2" borderId="0" xfId="0" applyNumberFormat="1" applyFont="1" applyFill="1" applyAlignment="1">
      <alignment horizontal="center" vertical="center"/>
    </xf>
    <xf numFmtId="0" fontId="16" fillId="2" borderId="0" xfId="0" applyFont="1" applyFill="1" applyAlignment="1">
      <alignment horizontal="right" vertical="center" wrapText="1"/>
    </xf>
    <xf numFmtId="0" fontId="54" fillId="0" borderId="0" xfId="0" applyFont="1" applyAlignment="1">
      <alignment vertical="center"/>
    </xf>
    <xf numFmtId="167" fontId="17" fillId="2" borderId="0" xfId="0" applyNumberFormat="1" applyFont="1" applyFill="1" applyAlignment="1">
      <alignment horizontal="right" vertical="center"/>
    </xf>
    <xf numFmtId="0" fontId="16" fillId="2" borderId="0" xfId="0" applyFont="1" applyFill="1" applyAlignment="1">
      <alignment horizontal="right" vertical="center"/>
    </xf>
    <xf numFmtId="0" fontId="54" fillId="0" borderId="0" xfId="0" applyFont="1" applyAlignment="1">
      <alignment horizontal="center" vertical="center"/>
    </xf>
    <xf numFmtId="167" fontId="17" fillId="2" borderId="5" xfId="0" applyNumberFormat="1" applyFont="1" applyFill="1" applyBorder="1" applyAlignment="1">
      <alignment horizontal="center" vertical="center"/>
    </xf>
    <xf numFmtId="167" fontId="17" fillId="0" borderId="0" xfId="3" applyNumberFormat="1" applyFont="1" applyAlignment="1">
      <alignment horizontal="center" vertical="center"/>
    </xf>
    <xf numFmtId="167" fontId="0" fillId="0" borderId="0" xfId="0" applyNumberFormat="1" applyAlignment="1">
      <alignment horizontal="center" vertical="center"/>
    </xf>
    <xf numFmtId="167" fontId="23" fillId="2" borderId="0" xfId="0" applyNumberFormat="1" applyFont="1" applyFill="1" applyAlignment="1">
      <alignment horizontal="left" vertical="center" wrapText="1"/>
    </xf>
    <xf numFmtId="167" fontId="17" fillId="2" borderId="0" xfId="0" applyNumberFormat="1" applyFont="1" applyFill="1" applyAlignment="1">
      <alignment horizontal="left" vertical="center" wrapText="1"/>
    </xf>
    <xf numFmtId="167" fontId="17" fillId="0" borderId="0" xfId="0" applyNumberFormat="1" applyFont="1" applyAlignment="1">
      <alignment horizontal="center" vertical="center" wrapText="1"/>
    </xf>
    <xf numFmtId="167" fontId="54" fillId="0" borderId="0" xfId="0" applyNumberFormat="1" applyFont="1" applyAlignment="1">
      <alignment vertical="center"/>
    </xf>
    <xf numFmtId="167" fontId="17" fillId="0" borderId="0" xfId="0" applyNumberFormat="1" applyFont="1" applyAlignment="1">
      <alignment vertical="center"/>
    </xf>
    <xf numFmtId="167" fontId="54" fillId="0" borderId="0" xfId="0" applyNumberFormat="1" applyFont="1" applyAlignment="1">
      <alignment horizontal="right" vertical="center"/>
    </xf>
    <xf numFmtId="167" fontId="17" fillId="0" borderId="5" xfId="0" applyNumberFormat="1" applyFont="1" applyBorder="1" applyAlignment="1">
      <alignment horizontal="center" vertical="center"/>
    </xf>
    <xf numFmtId="167" fontId="17" fillId="0" borderId="5" xfId="0" applyNumberFormat="1" applyFont="1" applyBorder="1" applyAlignment="1">
      <alignment horizontal="center" vertical="center" wrapText="1"/>
    </xf>
    <xf numFmtId="0" fontId="17" fillId="0" borderId="0" xfId="0" applyFont="1" applyAlignment="1">
      <alignment horizontal="center" vertical="center" wrapText="1"/>
    </xf>
    <xf numFmtId="0" fontId="17" fillId="0" borderId="0" xfId="0" applyFont="1" applyAlignment="1">
      <alignment horizontal="center" vertical="center"/>
    </xf>
    <xf numFmtId="0" fontId="54" fillId="0" borderId="0" xfId="0" applyFont="1" applyAlignment="1">
      <alignment horizontal="right" vertical="center"/>
    </xf>
    <xf numFmtId="0" fontId="17" fillId="0" borderId="5" xfId="0" applyFont="1" applyBorder="1" applyAlignment="1">
      <alignment horizontal="center" vertical="center"/>
    </xf>
    <xf numFmtId="0" fontId="16" fillId="0" borderId="3" xfId="0" applyFont="1" applyBorder="1" applyAlignment="1">
      <alignment horizontal="left" vertical="center" wrapText="1"/>
    </xf>
    <xf numFmtId="0" fontId="17" fillId="2" borderId="0" xfId="2" applyFont="1" applyFill="1" applyAlignment="1">
      <alignment horizontal="left" vertical="center" indent="2"/>
    </xf>
    <xf numFmtId="0" fontId="16" fillId="2" borderId="0" xfId="0" applyFont="1" applyFill="1" applyAlignment="1">
      <alignment horizontal="center" vertical="center" wrapText="1"/>
    </xf>
    <xf numFmtId="166" fontId="33" fillId="0" borderId="0" xfId="0" applyNumberFormat="1" applyFont="1" applyAlignment="1">
      <alignment horizontal="center" vertical="center" wrapText="1"/>
    </xf>
    <xf numFmtId="166" fontId="39" fillId="0" borderId="5" xfId="0" applyNumberFormat="1" applyFont="1" applyBorder="1" applyAlignment="1">
      <alignment horizontal="center" vertical="center" wrapText="1"/>
    </xf>
    <xf numFmtId="49" fontId="16" fillId="2" borderId="5" xfId="6" quotePrefix="1" applyFont="1" applyFill="1" applyBorder="1" applyAlignment="1">
      <alignment horizontal="left" vertical="top" wrapText="1"/>
    </xf>
    <xf numFmtId="0" fontId="38" fillId="2" borderId="0" xfId="0" applyFont="1" applyFill="1" applyAlignment="1">
      <alignment horizontal="left"/>
    </xf>
    <xf numFmtId="0" fontId="21" fillId="0" borderId="3" xfId="0" applyFont="1" applyBorder="1" applyAlignment="1">
      <alignment horizontal="center"/>
    </xf>
    <xf numFmtId="0" fontId="21" fillId="0" borderId="5" xfId="0" applyFont="1" applyBorder="1" applyAlignment="1">
      <alignment horizontal="center" wrapText="1"/>
    </xf>
    <xf numFmtId="49" fontId="57" fillId="2" borderId="0" xfId="0" applyNumberFormat="1" applyFont="1" applyFill="1" applyAlignment="1">
      <alignment horizontal="left"/>
    </xf>
    <xf numFmtId="0" fontId="17" fillId="0" borderId="0" xfId="2" applyFont="1"/>
    <xf numFmtId="164" fontId="16" fillId="0" borderId="0" xfId="0" applyNumberFormat="1" applyFont="1" applyAlignment="1">
      <alignment horizontal="center"/>
    </xf>
    <xf numFmtId="0" fontId="13" fillId="0" borderId="3" xfId="0" applyFont="1" applyBorder="1" applyAlignment="1">
      <alignment horizontal="left" vertical="center" wrapText="1"/>
    </xf>
    <xf numFmtId="0" fontId="17" fillId="2" borderId="4" xfId="0" applyFont="1" applyFill="1" applyBorder="1" applyAlignment="1">
      <alignment horizontal="left" wrapText="1"/>
    </xf>
    <xf numFmtId="0" fontId="43" fillId="0" borderId="0" xfId="0" applyFont="1" applyAlignment="1">
      <alignment vertical="center"/>
    </xf>
    <xf numFmtId="0" fontId="14" fillId="0" borderId="0" xfId="0" applyFont="1" applyAlignment="1">
      <alignment horizontal="left"/>
    </xf>
    <xf numFmtId="0" fontId="43" fillId="0" borderId="0" xfId="0" applyFont="1" applyAlignment="1">
      <alignment wrapText="1"/>
    </xf>
    <xf numFmtId="0" fontId="58" fillId="0" borderId="0" xfId="0" applyFont="1" applyAlignment="1">
      <alignment horizontal="left" vertical="center" wrapText="1"/>
    </xf>
    <xf numFmtId="166" fontId="17" fillId="0" borderId="0" xfId="13" applyNumberFormat="1" applyAlignment="1">
      <alignment horizontal="center"/>
    </xf>
    <xf numFmtId="168" fontId="17" fillId="0" borderId="0" xfId="13" applyNumberFormat="1" applyAlignment="1">
      <alignment horizontal="center"/>
    </xf>
    <xf numFmtId="0" fontId="28" fillId="2" borderId="0" xfId="2" applyFont="1" applyFill="1" applyAlignment="1">
      <alignment vertical="center"/>
    </xf>
    <xf numFmtId="0" fontId="17" fillId="2" borderId="0" xfId="2" applyFont="1" applyFill="1" applyAlignment="1">
      <alignment horizontal="left" vertical="center" wrapText="1" indent="2"/>
    </xf>
    <xf numFmtId="164" fontId="16" fillId="2" borderId="9" xfId="2" applyNumberFormat="1" applyFont="1" applyFill="1" applyBorder="1" applyAlignment="1">
      <alignment horizontal="right"/>
    </xf>
    <xf numFmtId="0" fontId="28" fillId="2" borderId="0" xfId="2" applyFont="1" applyFill="1" applyAlignment="1">
      <alignment horizontal="left" vertical="top"/>
    </xf>
    <xf numFmtId="164" fontId="16" fillId="2" borderId="0" xfId="2" applyNumberFormat="1" applyFont="1" applyFill="1" applyAlignment="1">
      <alignment horizontal="center"/>
    </xf>
    <xf numFmtId="164" fontId="17" fillId="2" borderId="0" xfId="2" applyNumberFormat="1" applyFont="1" applyFill="1" applyAlignment="1">
      <alignment horizontal="center" vertical="center"/>
    </xf>
    <xf numFmtId="0" fontId="23" fillId="2" borderId="9" xfId="2" applyFont="1" applyFill="1" applyBorder="1" applyAlignment="1">
      <alignment horizontal="left" vertical="center"/>
    </xf>
    <xf numFmtId="0" fontId="60" fillId="0" borderId="0" xfId="0" applyFont="1" applyAlignment="1">
      <alignment vertical="center"/>
    </xf>
    <xf numFmtId="0" fontId="61" fillId="2" borderId="0" xfId="16" applyNumberFormat="1" applyFont="1" applyFill="1" applyBorder="1" applyAlignment="1">
      <alignment horizontal="left" vertical="top"/>
    </xf>
    <xf numFmtId="49" fontId="61" fillId="2" borderId="0" xfId="16" applyNumberFormat="1" applyFont="1" applyFill="1" applyBorder="1" applyAlignment="1">
      <alignment horizontal="left" vertical="top" wrapText="1"/>
    </xf>
    <xf numFmtId="3" fontId="61" fillId="2" borderId="0" xfId="16" applyNumberFormat="1" applyFont="1" applyFill="1" applyBorder="1" applyAlignment="1">
      <alignment horizontal="right" vertical="top"/>
    </xf>
    <xf numFmtId="166" fontId="61" fillId="2" borderId="0" xfId="16" applyNumberFormat="1" applyFont="1" applyFill="1" applyBorder="1" applyAlignment="1">
      <alignment horizontal="right" vertical="top"/>
    </xf>
    <xf numFmtId="49" fontId="61" fillId="2" borderId="0" xfId="16" applyFont="1" applyFill="1" applyBorder="1" applyAlignment="1">
      <alignment vertical="top" wrapText="1"/>
    </xf>
    <xf numFmtId="3" fontId="61" fillId="2" borderId="0" xfId="16" applyNumberFormat="1" applyFont="1" applyFill="1" applyBorder="1" applyAlignment="1">
      <alignment horizontal="right" vertical="top" wrapText="1"/>
    </xf>
    <xf numFmtId="166" fontId="61" fillId="2" borderId="0" xfId="16" applyNumberFormat="1" applyFont="1" applyFill="1" applyBorder="1" applyAlignment="1">
      <alignment horizontal="right" vertical="top" wrapText="1"/>
    </xf>
    <xf numFmtId="49" fontId="16" fillId="2" borderId="4" xfId="18" applyFont="1" applyFill="1" applyBorder="1" applyAlignment="1">
      <alignment horizontal="left" vertical="top" wrapText="1"/>
    </xf>
    <xf numFmtId="3" fontId="16" fillId="2" borderId="4" xfId="18" applyNumberFormat="1" applyFont="1" applyFill="1" applyBorder="1" applyAlignment="1">
      <alignment horizontal="center" vertical="top" wrapText="1"/>
    </xf>
    <xf numFmtId="3" fontId="16" fillId="2" borderId="4" xfId="18" applyNumberFormat="1" applyFont="1" applyFill="1" applyBorder="1" applyAlignment="1">
      <alignment horizontal="right" vertical="top" wrapText="1"/>
    </xf>
    <xf numFmtId="3" fontId="16" fillId="2" borderId="6" xfId="18" applyNumberFormat="1" applyFont="1" applyFill="1" applyBorder="1" applyAlignment="1">
      <alignment horizontal="right" wrapText="1"/>
    </xf>
    <xf numFmtId="166" fontId="16" fillId="2" borderId="6" xfId="18" applyNumberFormat="1" applyFont="1" applyFill="1" applyBorder="1" applyAlignment="1">
      <alignment horizontal="right" wrapText="1"/>
    </xf>
    <xf numFmtId="166" fontId="16" fillId="0" borderId="7" xfId="18" applyNumberFormat="1" applyFont="1" applyFill="1" applyBorder="1" applyAlignment="1">
      <alignment horizontal="center" wrapText="1"/>
    </xf>
    <xf numFmtId="3" fontId="16" fillId="2" borderId="5" xfId="18" applyNumberFormat="1" applyFont="1" applyFill="1" applyBorder="1" applyAlignment="1">
      <alignment horizontal="right" wrapText="1"/>
    </xf>
    <xf numFmtId="49" fontId="16" fillId="2" borderId="0" xfId="18" applyFont="1" applyFill="1" applyBorder="1" applyAlignment="1">
      <alignment horizontal="left" vertical="top" wrapText="1"/>
    </xf>
    <xf numFmtId="49" fontId="54" fillId="2" borderId="0" xfId="0" applyNumberFormat="1" applyFont="1" applyFill="1" applyAlignment="1">
      <alignment vertical="top" wrapText="1"/>
    </xf>
    <xf numFmtId="166" fontId="16" fillId="2" borderId="0" xfId="18" applyNumberFormat="1" applyFont="1" applyFill="1" applyBorder="1" applyAlignment="1">
      <alignment horizontal="right" vertical="top" wrapText="1"/>
    </xf>
    <xf numFmtId="0" fontId="17" fillId="2" borderId="0" xfId="0" applyFont="1" applyFill="1" applyAlignment="1">
      <alignment horizontal="left" vertical="top"/>
    </xf>
    <xf numFmtId="49" fontId="17" fillId="2" borderId="0" xfId="18" applyNumberFormat="1" applyFont="1" applyFill="1" applyBorder="1" applyAlignment="1">
      <alignment horizontal="left" vertical="top" wrapText="1"/>
    </xf>
    <xf numFmtId="3" fontId="17" fillId="2" borderId="0" xfId="18" applyNumberFormat="1" applyFont="1" applyFill="1" applyBorder="1" applyAlignment="1">
      <alignment horizontal="right" vertical="top" wrapText="1"/>
    </xf>
    <xf numFmtId="166" fontId="17" fillId="2" borderId="0" xfId="18" applyNumberFormat="1" applyFont="1" applyFill="1" applyBorder="1" applyAlignment="1">
      <alignment horizontal="right" vertical="top" wrapText="1"/>
    </xf>
    <xf numFmtId="1" fontId="20" fillId="2" borderId="0" xfId="0" applyNumberFormat="1" applyFont="1" applyFill="1" applyAlignment="1">
      <alignment horizontal="left" vertical="top"/>
    </xf>
    <xf numFmtId="0" fontId="17" fillId="2" borderId="0" xfId="0" applyFont="1" applyFill="1" applyAlignment="1">
      <alignment vertical="top" wrapText="1"/>
    </xf>
    <xf numFmtId="3" fontId="17" fillId="2" borderId="0" xfId="0" applyNumberFormat="1" applyFont="1" applyFill="1" applyAlignment="1">
      <alignment vertical="top"/>
    </xf>
    <xf numFmtId="166" fontId="17" fillId="2" borderId="0" xfId="0" applyNumberFormat="1" applyFont="1" applyFill="1" applyAlignment="1">
      <alignment vertical="top"/>
    </xf>
    <xf numFmtId="0" fontId="17" fillId="2" borderId="0" xfId="6" quotePrefix="1" applyNumberFormat="1" applyFont="1" applyFill="1" applyAlignment="1">
      <alignment horizontal="left" vertical="top" wrapText="1"/>
    </xf>
    <xf numFmtId="1" fontId="16" fillId="2" borderId="0" xfId="6" quotePrefix="1" applyNumberFormat="1" applyFont="1" applyFill="1" applyAlignment="1">
      <alignment horizontal="left" vertical="top" wrapText="1"/>
    </xf>
    <xf numFmtId="1" fontId="16" fillId="2" borderId="0" xfId="18" applyNumberFormat="1" applyFont="1" applyFill="1" applyBorder="1" applyAlignment="1">
      <alignment horizontal="left" vertical="top" wrapText="1"/>
    </xf>
    <xf numFmtId="1" fontId="17" fillId="2" borderId="0" xfId="6" quotePrefix="1" applyNumberFormat="1" applyFont="1" applyFill="1" applyAlignment="1">
      <alignment horizontal="left" vertical="top" wrapText="1"/>
    </xf>
    <xf numFmtId="1" fontId="22" fillId="2" borderId="0" xfId="6" quotePrefix="1" applyNumberFormat="1" applyFont="1" applyFill="1" applyAlignment="1">
      <alignment horizontal="left" vertical="top" wrapText="1"/>
    </xf>
    <xf numFmtId="49" fontId="53" fillId="2" borderId="0" xfId="0" applyNumberFormat="1" applyFont="1" applyFill="1" applyAlignment="1">
      <alignment horizontal="left" vertical="top" wrapText="1"/>
    </xf>
    <xf numFmtId="3" fontId="53" fillId="2" borderId="0" xfId="0" applyNumberFormat="1" applyFont="1" applyFill="1" applyAlignment="1">
      <alignment horizontal="right" vertical="top"/>
    </xf>
    <xf numFmtId="166" fontId="53" fillId="2" borderId="0" xfId="0" applyNumberFormat="1" applyFont="1" applyFill="1" applyAlignment="1">
      <alignment horizontal="right" vertical="top"/>
    </xf>
    <xf numFmtId="49" fontId="57" fillId="2" borderId="0" xfId="0" applyNumberFormat="1" applyFont="1" applyFill="1" applyAlignment="1">
      <alignment horizontal="left" vertical="top"/>
    </xf>
    <xf numFmtId="49" fontId="25" fillId="2" borderId="0" xfId="0" applyNumberFormat="1" applyFont="1" applyFill="1" applyAlignment="1">
      <alignment horizontal="left" vertical="top" wrapText="1"/>
    </xf>
    <xf numFmtId="3" fontId="25" fillId="2" borderId="0" xfId="0" applyNumberFormat="1" applyFont="1" applyFill="1" applyAlignment="1">
      <alignment vertical="top"/>
    </xf>
    <xf numFmtId="166" fontId="25" fillId="2" borderId="0" xfId="0" applyNumberFormat="1" applyFont="1" applyFill="1" applyAlignment="1">
      <alignment vertical="top"/>
    </xf>
    <xf numFmtId="3" fontId="25" fillId="2" borderId="0" xfId="0" applyNumberFormat="1" applyFont="1" applyFill="1" applyAlignment="1">
      <alignment horizontal="right" vertical="top"/>
    </xf>
    <xf numFmtId="166" fontId="25" fillId="2" borderId="0" xfId="0" applyNumberFormat="1" applyFont="1" applyFill="1" applyAlignment="1">
      <alignment horizontal="right" vertical="top"/>
    </xf>
    <xf numFmtId="49" fontId="17" fillId="2" borderId="0" xfId="0" applyNumberFormat="1" applyFont="1" applyFill="1" applyAlignment="1">
      <alignment horizontal="left" vertical="top"/>
    </xf>
    <xf numFmtId="49" fontId="53" fillId="2" borderId="0" xfId="0" applyNumberFormat="1" applyFont="1" applyFill="1" applyAlignment="1">
      <alignment horizontal="left" wrapText="1"/>
    </xf>
    <xf numFmtId="3" fontId="53" fillId="2" borderId="0" xfId="0" applyNumberFormat="1" applyFont="1" applyFill="1" applyAlignment="1">
      <alignment horizontal="right"/>
    </xf>
    <xf numFmtId="166" fontId="53" fillId="2" borderId="0" xfId="0" applyNumberFormat="1" applyFont="1" applyFill="1" applyAlignment="1">
      <alignment horizontal="right"/>
    </xf>
    <xf numFmtId="49" fontId="25" fillId="2" borderId="0" xfId="0" applyNumberFormat="1" applyFont="1" applyFill="1"/>
    <xf numFmtId="49" fontId="25" fillId="2" borderId="0" xfId="0" applyNumberFormat="1" applyFont="1" applyFill="1" applyAlignment="1">
      <alignment horizontal="left" wrapText="1"/>
    </xf>
    <xf numFmtId="3" fontId="25" fillId="2" borderId="0" xfId="0" applyNumberFormat="1" applyFont="1" applyFill="1" applyAlignment="1">
      <alignment horizontal="right"/>
    </xf>
    <xf numFmtId="166" fontId="25" fillId="2" borderId="0" xfId="0" applyNumberFormat="1" applyFont="1" applyFill="1" applyAlignment="1">
      <alignment horizontal="right"/>
    </xf>
    <xf numFmtId="49" fontId="17" fillId="2" borderId="0" xfId="0" applyNumberFormat="1" applyFont="1" applyFill="1" applyAlignment="1">
      <alignment vertical="top"/>
    </xf>
    <xf numFmtId="166" fontId="25" fillId="2" borderId="0" xfId="0" applyNumberFormat="1" applyFont="1" applyFill="1"/>
    <xf numFmtId="169" fontId="25" fillId="2" borderId="0" xfId="0" applyNumberFormat="1" applyFont="1" applyFill="1" applyAlignment="1">
      <alignment horizontal="right" vertical="top"/>
    </xf>
    <xf numFmtId="49" fontId="66" fillId="2" borderId="0" xfId="0" applyNumberFormat="1" applyFont="1" applyFill="1" applyAlignment="1">
      <alignment vertical="top"/>
    </xf>
    <xf numFmtId="49" fontId="67" fillId="2" borderId="0" xfId="0" applyNumberFormat="1" applyFont="1" applyFill="1" applyAlignment="1">
      <alignment horizontal="left" vertical="top"/>
    </xf>
    <xf numFmtId="49" fontId="25" fillId="2" borderId="0" xfId="0" applyNumberFormat="1" applyFont="1" applyFill="1" applyAlignment="1">
      <alignment horizontal="left" vertical="top"/>
    </xf>
    <xf numFmtId="3" fontId="25" fillId="2" borderId="0" xfId="0" applyNumberFormat="1" applyFont="1" applyFill="1" applyAlignment="1">
      <alignment horizontal="right" vertical="top" wrapText="1"/>
    </xf>
    <xf numFmtId="0" fontId="25" fillId="2" borderId="0" xfId="0" applyFont="1" applyFill="1" applyAlignment="1">
      <alignment horizontal="left" vertical="top" wrapText="1"/>
    </xf>
    <xf numFmtId="49" fontId="25" fillId="2" borderId="0" xfId="0" applyNumberFormat="1" applyFont="1" applyFill="1" applyAlignment="1">
      <alignment vertical="top"/>
    </xf>
    <xf numFmtId="3" fontId="16" fillId="2" borderId="5" xfId="6" quotePrefix="1" applyNumberFormat="1" applyFont="1" applyFill="1" applyBorder="1" applyAlignment="1">
      <alignment horizontal="right" vertical="top" wrapText="1"/>
    </xf>
    <xf numFmtId="3" fontId="16" fillId="2" borderId="5" xfId="6" applyNumberFormat="1" applyFont="1" applyFill="1" applyBorder="1" applyAlignment="1">
      <alignment horizontal="right" vertical="top" wrapText="1"/>
    </xf>
    <xf numFmtId="166" fontId="16" fillId="2" borderId="5" xfId="6" quotePrefix="1" applyNumberFormat="1" applyFont="1" applyFill="1" applyBorder="1" applyAlignment="1">
      <alignment horizontal="right" vertical="top" wrapText="1"/>
    </xf>
    <xf numFmtId="166" fontId="62" fillId="2" borderId="5" xfId="6" applyNumberFormat="1" applyFont="1" applyFill="1" applyBorder="1" applyAlignment="1">
      <alignment horizontal="right" vertical="top" wrapText="1"/>
    </xf>
    <xf numFmtId="49" fontId="59" fillId="2" borderId="5" xfId="0" applyNumberFormat="1" applyFont="1" applyFill="1" applyBorder="1" applyAlignment="1">
      <alignment vertical="top" wrapText="1"/>
    </xf>
    <xf numFmtId="49" fontId="62" fillId="2" borderId="5" xfId="6" quotePrefix="1" applyFont="1" applyFill="1" applyBorder="1" applyAlignment="1">
      <alignment horizontal="left" vertical="top" wrapText="1"/>
    </xf>
    <xf numFmtId="49" fontId="65" fillId="2" borderId="5" xfId="0" applyNumberFormat="1" applyFont="1" applyFill="1" applyBorder="1" applyAlignment="1">
      <alignment vertical="top" wrapText="1"/>
    </xf>
    <xf numFmtId="1" fontId="62" fillId="2" borderId="5" xfId="6" quotePrefix="1" applyNumberFormat="1" applyFont="1" applyFill="1" applyBorder="1" applyAlignment="1">
      <alignment horizontal="left" vertical="top" wrapText="1"/>
    </xf>
    <xf numFmtId="1" fontId="63" fillId="2" borderId="5" xfId="6" quotePrefix="1" applyNumberFormat="1" applyFont="1" applyFill="1" applyBorder="1" applyAlignment="1">
      <alignment horizontal="left" vertical="top" wrapText="1"/>
    </xf>
    <xf numFmtId="1" fontId="64" fillId="2" borderId="5" xfId="6" quotePrefix="1" applyNumberFormat="1" applyFont="1" applyFill="1" applyBorder="1" applyAlignment="1">
      <alignment horizontal="left" vertical="top" wrapText="1"/>
    </xf>
    <xf numFmtId="49" fontId="16" fillId="2" borderId="5" xfId="6" applyFont="1" applyFill="1" applyBorder="1" applyAlignment="1">
      <alignment horizontal="left" vertical="top" wrapText="1"/>
    </xf>
    <xf numFmtId="49" fontId="22" fillId="2" borderId="5" xfId="6" quotePrefix="1" applyFont="1" applyFill="1" applyBorder="1" applyAlignment="1">
      <alignment horizontal="left" vertical="top" wrapText="1"/>
    </xf>
    <xf numFmtId="3" fontId="16" fillId="2" borderId="4" xfId="18" applyNumberFormat="1" applyFont="1" applyFill="1" applyBorder="1" applyAlignment="1">
      <alignment horizontal="center" wrapText="1"/>
    </xf>
    <xf numFmtId="3" fontId="16" fillId="2" borderId="4" xfId="18" applyNumberFormat="1" applyFont="1" applyFill="1" applyBorder="1" applyAlignment="1">
      <alignment horizontal="right" wrapText="1"/>
    </xf>
    <xf numFmtId="49" fontId="16" fillId="2" borderId="3" xfId="18" applyNumberFormat="1" applyFont="1" applyFill="1" applyBorder="1" applyAlignment="1">
      <alignment horizontal="left" wrapText="1"/>
    </xf>
    <xf numFmtId="3" fontId="16" fillId="2" borderId="3" xfId="18" applyNumberFormat="1" applyFont="1" applyFill="1" applyBorder="1" applyAlignment="1">
      <alignment horizontal="right" wrapText="1"/>
    </xf>
    <xf numFmtId="166" fontId="16" fillId="2" borderId="3" xfId="18" applyNumberFormat="1" applyFont="1" applyFill="1" applyBorder="1" applyAlignment="1">
      <alignment horizontal="right" wrapText="1"/>
    </xf>
    <xf numFmtId="49" fontId="16" fillId="2" borderId="3" xfId="0" applyNumberFormat="1" applyFont="1" applyFill="1" applyBorder="1" applyAlignment="1">
      <alignment horizontal="right" wrapText="1"/>
    </xf>
    <xf numFmtId="3" fontId="16" fillId="2" borderId="5" xfId="18" applyNumberFormat="1" applyFont="1" applyFill="1" applyBorder="1" applyAlignment="1">
      <alignment horizontal="left" wrapText="1"/>
    </xf>
    <xf numFmtId="166" fontId="20" fillId="2" borderId="0" xfId="0" applyNumberFormat="1" applyFont="1" applyFill="1" applyAlignment="1">
      <alignment horizontal="right" vertical="top" wrapText="1"/>
    </xf>
    <xf numFmtId="49" fontId="54" fillId="2" borderId="0" xfId="0" applyNumberFormat="1" applyFont="1" applyFill="1" applyAlignment="1">
      <alignment vertical="top"/>
    </xf>
    <xf numFmtId="166" fontId="16" fillId="2" borderId="5" xfId="6" applyNumberFormat="1" applyFont="1" applyFill="1" applyBorder="1" applyAlignment="1">
      <alignment horizontal="right" vertical="top" wrapText="1"/>
    </xf>
    <xf numFmtId="49" fontId="53" fillId="2" borderId="0" xfId="0" applyNumberFormat="1" applyFont="1" applyFill="1"/>
    <xf numFmtId="0" fontId="20" fillId="0" borderId="5" xfId="0" applyFont="1" applyBorder="1"/>
    <xf numFmtId="0" fontId="23" fillId="0" borderId="0" xfId="0" applyFont="1"/>
    <xf numFmtId="49" fontId="17" fillId="0" borderId="0" xfId="0" applyNumberFormat="1" applyFont="1" applyAlignment="1">
      <alignment vertical="center"/>
    </xf>
    <xf numFmtId="0" fontId="69" fillId="0" borderId="0" xfId="0" applyFont="1"/>
    <xf numFmtId="0" fontId="59" fillId="0" borderId="0" xfId="0" applyFont="1"/>
    <xf numFmtId="0" fontId="19" fillId="0" borderId="0" xfId="0" applyFont="1" applyAlignment="1">
      <alignment vertical="center"/>
    </xf>
    <xf numFmtId="0" fontId="21" fillId="0" borderId="9" xfId="0" applyFont="1" applyBorder="1" applyAlignment="1">
      <alignment horizontal="center" vertical="center"/>
    </xf>
    <xf numFmtId="0" fontId="20" fillId="0" borderId="4" xfId="0" applyFont="1" applyBorder="1"/>
    <xf numFmtId="49" fontId="13" fillId="0" borderId="0" xfId="0" applyNumberFormat="1" applyFont="1"/>
    <xf numFmtId="49" fontId="15" fillId="7" borderId="4" xfId="0" applyNumberFormat="1" applyFont="1" applyFill="1" applyBorder="1" applyAlignment="1">
      <alignment vertical="center"/>
    </xf>
    <xf numFmtId="49" fontId="15" fillId="7" borderId="0" xfId="0" applyNumberFormat="1" applyFont="1" applyFill="1" applyAlignment="1">
      <alignment horizontal="left"/>
    </xf>
    <xf numFmtId="49" fontId="15" fillId="7" borderId="0" xfId="0" applyNumberFormat="1" applyFont="1" applyFill="1" applyAlignment="1">
      <alignment horizontal="left" wrapText="1"/>
    </xf>
    <xf numFmtId="166" fontId="15" fillId="7" borderId="0" xfId="0" applyNumberFormat="1" applyFont="1" applyFill="1" applyAlignment="1">
      <alignment horizontal="right"/>
    </xf>
    <xf numFmtId="49" fontId="75" fillId="7" borderId="0" xfId="0" applyNumberFormat="1" applyFont="1" applyFill="1"/>
    <xf numFmtId="49" fontId="56" fillId="7" borderId="4" xfId="16" applyFont="1" applyFill="1" applyBorder="1" applyAlignment="1"/>
    <xf numFmtId="49" fontId="56" fillId="7" borderId="0" xfId="16" applyFont="1" applyFill="1" applyBorder="1" applyAlignment="1">
      <alignment vertical="center"/>
    </xf>
    <xf numFmtId="167" fontId="15" fillId="0" borderId="0" xfId="16" applyNumberFormat="1" applyFont="1" applyFill="1" applyBorder="1" applyAlignment="1">
      <alignment horizontal="center"/>
    </xf>
    <xf numFmtId="167" fontId="5" fillId="0" borderId="0" xfId="32" applyNumberFormat="1" applyFont="1" applyAlignment="1">
      <alignment wrapText="1"/>
    </xf>
    <xf numFmtId="166" fontId="15" fillId="0" borderId="0" xfId="0" applyNumberFormat="1" applyFont="1" applyAlignment="1">
      <alignment horizontal="right"/>
    </xf>
    <xf numFmtId="49" fontId="74" fillId="7" borderId="0" xfId="0" applyNumberFormat="1" applyFont="1" applyFill="1" applyAlignment="1">
      <alignment horizontal="left" vertical="center"/>
    </xf>
    <xf numFmtId="2" fontId="17" fillId="2" borderId="0" xfId="0" applyNumberFormat="1" applyFont="1" applyFill="1" applyAlignment="1">
      <alignment horizontal="center" vertical="center" wrapText="1"/>
    </xf>
    <xf numFmtId="170" fontId="17" fillId="2" borderId="0" xfId="0" applyNumberFormat="1" applyFont="1" applyFill="1" applyAlignment="1">
      <alignment horizontal="center" vertical="center" wrapText="1"/>
    </xf>
    <xf numFmtId="0" fontId="76" fillId="0" borderId="0" xfId="0" applyFont="1"/>
    <xf numFmtId="0" fontId="77" fillId="0" borderId="0" xfId="0" applyFont="1"/>
    <xf numFmtId="167" fontId="20" fillId="0" borderId="9" xfId="0" applyNumberFormat="1" applyFont="1" applyBorder="1" applyAlignment="1">
      <alignment horizontal="center"/>
    </xf>
    <xf numFmtId="0" fontId="20" fillId="0" borderId="9" xfId="0" applyFont="1" applyBorder="1" applyAlignment="1">
      <alignment horizontal="left"/>
    </xf>
    <xf numFmtId="0" fontId="20" fillId="0" borderId="9" xfId="0" applyFont="1" applyBorder="1" applyAlignment="1">
      <alignment horizontal="center"/>
    </xf>
    <xf numFmtId="0" fontId="23" fillId="2" borderId="9" xfId="2" applyFont="1" applyFill="1" applyBorder="1" applyAlignment="1">
      <alignment horizontal="left" vertical="center" indent="2"/>
    </xf>
    <xf numFmtId="167" fontId="17" fillId="2" borderId="9" xfId="0" applyNumberFormat="1" applyFont="1" applyFill="1" applyBorder="1" applyAlignment="1">
      <alignment horizontal="center" vertical="center" wrapText="1"/>
    </xf>
    <xf numFmtId="0" fontId="21" fillId="0" borderId="0" xfId="0" applyFont="1" applyAlignment="1">
      <alignment vertical="center"/>
    </xf>
    <xf numFmtId="0" fontId="21" fillId="0" borderId="9" xfId="0" applyFont="1" applyBorder="1" applyAlignment="1">
      <alignment vertical="center"/>
    </xf>
    <xf numFmtId="0" fontId="13" fillId="2" borderId="0" xfId="0" applyFont="1" applyFill="1" applyAlignment="1">
      <alignment horizontal="left" vertical="center" wrapText="1"/>
    </xf>
    <xf numFmtId="0" fontId="14" fillId="2" borderId="0" xfId="0" applyFont="1" applyFill="1"/>
    <xf numFmtId="0" fontId="13" fillId="2" borderId="3" xfId="0" applyFont="1" applyFill="1" applyBorder="1" applyAlignment="1">
      <alignment horizontal="left" vertical="center" wrapText="1"/>
    </xf>
    <xf numFmtId="0" fontId="21" fillId="2" borderId="3" xfId="0" applyFont="1" applyFill="1" applyBorder="1" applyAlignment="1">
      <alignment horizontal="center" vertical="center" wrapText="1"/>
    </xf>
    <xf numFmtId="0" fontId="2" fillId="2" borderId="0" xfId="0" applyFont="1" applyFill="1" applyAlignment="1">
      <alignment horizontal="center"/>
    </xf>
    <xf numFmtId="0" fontId="21" fillId="2" borderId="3" xfId="0" applyFont="1" applyFill="1" applyBorder="1" applyAlignment="1">
      <alignment horizontal="left" vertical="center" wrapText="1"/>
    </xf>
    <xf numFmtId="0" fontId="32" fillId="2" borderId="0" xfId="0" applyFont="1" applyFill="1" applyAlignment="1">
      <alignment vertical="center" wrapText="1"/>
    </xf>
    <xf numFmtId="0" fontId="0" fillId="2" borderId="0" xfId="0" applyFill="1" applyAlignment="1">
      <alignment horizontal="right"/>
    </xf>
    <xf numFmtId="0" fontId="33" fillId="2" borderId="0" xfId="0" applyFont="1" applyFill="1" applyAlignment="1">
      <alignment vertical="center" wrapText="1"/>
    </xf>
    <xf numFmtId="166" fontId="33" fillId="2" borderId="0" xfId="0" applyNumberFormat="1" applyFont="1" applyFill="1" applyAlignment="1">
      <alignment horizontal="right" vertical="center" wrapText="1"/>
    </xf>
    <xf numFmtId="0" fontId="47" fillId="2" borderId="0" xfId="0" applyFont="1" applyFill="1" applyAlignment="1">
      <alignment horizontal="center"/>
    </xf>
    <xf numFmtId="0" fontId="48" fillId="2" borderId="0" xfId="0" applyFont="1" applyFill="1"/>
    <xf numFmtId="0" fontId="46" fillId="2" borderId="0" xfId="0" applyFont="1" applyFill="1"/>
    <xf numFmtId="0" fontId="45" fillId="2" borderId="0" xfId="1" applyFont="1" applyFill="1"/>
    <xf numFmtId="0" fontId="20" fillId="2" borderId="0" xfId="0" applyFont="1" applyFill="1"/>
    <xf numFmtId="0" fontId="19" fillId="2" borderId="0" xfId="0" applyFont="1" applyFill="1"/>
    <xf numFmtId="3" fontId="33" fillId="2" borderId="0" xfId="0" applyNumberFormat="1" applyFont="1" applyFill="1" applyAlignment="1">
      <alignment horizontal="center" vertical="center" wrapText="1"/>
    </xf>
    <xf numFmtId="0" fontId="31" fillId="2" borderId="0" xfId="0" applyFont="1" applyFill="1"/>
    <xf numFmtId="0" fontId="81" fillId="2" borderId="0" xfId="0" applyFont="1" applyFill="1"/>
    <xf numFmtId="0" fontId="78" fillId="2" borderId="0" xfId="0" applyFont="1" applyFill="1"/>
    <xf numFmtId="0" fontId="30" fillId="2" borderId="0" xfId="0" applyFont="1" applyFill="1" applyAlignment="1">
      <alignment vertical="center"/>
    </xf>
    <xf numFmtId="0" fontId="78" fillId="2" borderId="0" xfId="0" applyFont="1" applyFill="1" applyAlignment="1">
      <alignment wrapText="1"/>
    </xf>
    <xf numFmtId="171" fontId="79" fillId="2" borderId="0" xfId="7" applyNumberFormat="1" applyFont="1" applyFill="1" applyBorder="1" applyAlignment="1">
      <alignment horizontal="right"/>
    </xf>
    <xf numFmtId="167" fontId="29" fillId="2" borderId="0" xfId="0" applyNumberFormat="1" applyFont="1" applyFill="1"/>
    <xf numFmtId="0" fontId="31" fillId="2" borderId="0" xfId="0" applyFont="1" applyFill="1" applyAlignment="1">
      <alignment wrapText="1"/>
    </xf>
    <xf numFmtId="0" fontId="80" fillId="2" borderId="0" xfId="0" applyFont="1" applyFill="1" applyAlignment="1">
      <alignment wrapText="1"/>
    </xf>
    <xf numFmtId="0" fontId="13" fillId="0" borderId="0" xfId="0" applyFont="1" applyAlignment="1">
      <alignment horizontal="left" wrapText="1"/>
    </xf>
    <xf numFmtId="0" fontId="13" fillId="0" borderId="0" xfId="0" applyFont="1" applyAlignment="1">
      <alignment horizontal="left" vertical="center"/>
    </xf>
    <xf numFmtId="0" fontId="13" fillId="0" borderId="0" xfId="0" applyFont="1" applyAlignment="1">
      <alignment horizontal="center" vertical="center"/>
    </xf>
    <xf numFmtId="164" fontId="16" fillId="2" borderId="9" xfId="2" applyNumberFormat="1" applyFont="1" applyFill="1" applyBorder="1" applyAlignment="1">
      <alignment horizontal="center"/>
    </xf>
    <xf numFmtId="0" fontId="73" fillId="0" borderId="0" xfId="0" applyFont="1"/>
    <xf numFmtId="3" fontId="17" fillId="7" borderId="4" xfId="0" applyNumberFormat="1" applyFont="1" applyFill="1" applyBorder="1" applyAlignment="1">
      <alignment horizontal="left"/>
    </xf>
    <xf numFmtId="166" fontId="17" fillId="0" borderId="4" xfId="0" applyNumberFormat="1" applyFont="1" applyBorder="1" applyAlignment="1">
      <alignment horizontal="center"/>
    </xf>
    <xf numFmtId="166" fontId="17" fillId="0" borderId="0" xfId="0" applyNumberFormat="1" applyFont="1" applyAlignment="1">
      <alignment horizontal="center"/>
    </xf>
    <xf numFmtId="49" fontId="17" fillId="7" borderId="0" xfId="0" applyNumberFormat="1" applyFont="1" applyFill="1" applyAlignment="1">
      <alignment horizontal="left"/>
    </xf>
    <xf numFmtId="49" fontId="17" fillId="7" borderId="0" xfId="0" applyNumberFormat="1" applyFont="1" applyFill="1" applyAlignment="1">
      <alignment horizontal="center"/>
    </xf>
    <xf numFmtId="49" fontId="17" fillId="0" borderId="0" xfId="0" applyNumberFormat="1" applyFont="1" applyAlignment="1">
      <alignment horizontal="center"/>
    </xf>
    <xf numFmtId="167" fontId="17" fillId="7" borderId="0" xfId="0" applyNumberFormat="1" applyFont="1" applyFill="1" applyAlignment="1">
      <alignment horizontal="center"/>
    </xf>
    <xf numFmtId="49" fontId="17" fillId="7" borderId="0" xfId="0" applyNumberFormat="1" applyFont="1" applyFill="1" applyAlignment="1">
      <alignment horizontal="left" wrapText="1"/>
    </xf>
    <xf numFmtId="167" fontId="17" fillId="0" borderId="0" xfId="0" applyNumberFormat="1" applyFont="1" applyAlignment="1">
      <alignment horizontal="center"/>
    </xf>
    <xf numFmtId="49" fontId="22" fillId="7" borderId="9" xfId="0" applyNumberFormat="1" applyFont="1" applyFill="1" applyBorder="1" applyAlignment="1">
      <alignment horizontal="left" wrapText="1"/>
    </xf>
    <xf numFmtId="164" fontId="22" fillId="0" borderId="9" xfId="0" applyNumberFormat="1" applyFont="1" applyBorder="1" applyAlignment="1">
      <alignment horizontal="center"/>
    </xf>
    <xf numFmtId="166" fontId="22" fillId="0" borderId="9" xfId="0" applyNumberFormat="1" applyFont="1" applyBorder="1" applyAlignment="1">
      <alignment horizontal="center"/>
    </xf>
    <xf numFmtId="49" fontId="22" fillId="0" borderId="9" xfId="0" applyNumberFormat="1" applyFont="1" applyBorder="1" applyAlignment="1">
      <alignment horizontal="center" wrapText="1"/>
    </xf>
    <xf numFmtId="49" fontId="17" fillId="7" borderId="0" xfId="0" applyNumberFormat="1" applyFont="1" applyFill="1" applyAlignment="1">
      <alignment vertical="center" wrapText="1"/>
    </xf>
    <xf numFmtId="49" fontId="16" fillId="7" borderId="0" xfId="0" applyNumberFormat="1" applyFont="1" applyFill="1" applyAlignment="1">
      <alignment horizontal="center" vertical="center" wrapText="1"/>
    </xf>
    <xf numFmtId="49" fontId="16" fillId="7" borderId="4" xfId="0" applyNumberFormat="1" applyFont="1" applyFill="1" applyBorder="1" applyAlignment="1">
      <alignment horizontal="center" vertical="center" wrapText="1"/>
    </xf>
    <xf numFmtId="49" fontId="16" fillId="7" borderId="0" xfId="0" applyNumberFormat="1" applyFont="1" applyFill="1" applyAlignment="1">
      <alignment vertical="center" wrapText="1"/>
    </xf>
    <xf numFmtId="49" fontId="16" fillId="7" borderId="0" xfId="0" applyNumberFormat="1" applyFont="1" applyFill="1" applyAlignment="1">
      <alignment vertical="center"/>
    </xf>
    <xf numFmtId="49" fontId="16" fillId="7" borderId="3" xfId="0" applyNumberFormat="1" applyFont="1" applyFill="1" applyBorder="1" applyAlignment="1">
      <alignment horizontal="center" vertical="center"/>
    </xf>
    <xf numFmtId="49" fontId="16" fillId="7" borderId="0" xfId="0" applyNumberFormat="1" applyFont="1" applyFill="1" applyAlignment="1">
      <alignment horizontal="center" vertical="center"/>
    </xf>
    <xf numFmtId="49" fontId="17" fillId="7" borderId="0" xfId="0" applyNumberFormat="1" applyFont="1" applyFill="1"/>
    <xf numFmtId="49" fontId="22" fillId="7" borderId="0" xfId="0" applyNumberFormat="1" applyFont="1" applyFill="1"/>
    <xf numFmtId="0" fontId="83" fillId="0" borderId="0" xfId="0" applyFont="1"/>
    <xf numFmtId="49" fontId="16" fillId="7" borderId="0" xfId="16" applyFont="1" applyFill="1" applyBorder="1" applyAlignment="1"/>
    <xf numFmtId="49" fontId="16" fillId="7" borderId="3" xfId="16" applyFont="1" applyFill="1" applyBorder="1" applyAlignment="1">
      <alignment horizontal="center"/>
    </xf>
    <xf numFmtId="49" fontId="16" fillId="7" borderId="0" xfId="0" applyNumberFormat="1" applyFont="1" applyFill="1" applyAlignment="1">
      <alignment horizontal="center"/>
    </xf>
    <xf numFmtId="49" fontId="16" fillId="7" borderId="0" xfId="16" applyFont="1" applyFill="1" applyBorder="1" applyAlignment="1">
      <alignment horizontal="center"/>
    </xf>
    <xf numFmtId="49" fontId="22" fillId="7" borderId="0" xfId="16" applyFont="1" applyFill="1" applyBorder="1" applyAlignment="1"/>
    <xf numFmtId="49" fontId="85" fillId="0" borderId="0" xfId="0" applyNumberFormat="1" applyFont="1" applyAlignment="1">
      <alignment horizontal="center"/>
    </xf>
    <xf numFmtId="49" fontId="17" fillId="7" borderId="0" xfId="16" applyFont="1" applyFill="1" applyBorder="1" applyAlignment="1"/>
    <xf numFmtId="167" fontId="20" fillId="0" borderId="0" xfId="32" applyNumberFormat="1" applyAlignment="1">
      <alignment horizontal="center" wrapText="1"/>
    </xf>
    <xf numFmtId="167" fontId="17" fillId="0" borderId="0" xfId="16" applyNumberFormat="1" applyFont="1" applyFill="1" applyBorder="1" applyAlignment="1">
      <alignment horizontal="center"/>
    </xf>
    <xf numFmtId="167" fontId="85" fillId="0" borderId="0" xfId="0" applyNumberFormat="1" applyFont="1" applyAlignment="1">
      <alignment horizontal="center"/>
    </xf>
    <xf numFmtId="49" fontId="17" fillId="7" borderId="9" xfId="16" applyFont="1" applyFill="1" applyBorder="1" applyAlignment="1"/>
    <xf numFmtId="167" fontId="20" fillId="0" borderId="9" xfId="32" applyNumberFormat="1" applyBorder="1" applyAlignment="1">
      <alignment horizontal="center" wrapText="1"/>
    </xf>
    <xf numFmtId="167" fontId="17" fillId="0" borderId="9" xfId="16" applyNumberFormat="1" applyFont="1" applyFill="1" applyBorder="1" applyAlignment="1">
      <alignment horizontal="center"/>
    </xf>
    <xf numFmtId="0" fontId="84" fillId="0" borderId="0" xfId="0" applyFont="1" applyAlignment="1">
      <alignment horizontal="left"/>
    </xf>
    <xf numFmtId="0" fontId="84" fillId="0" borderId="0" xfId="0" applyFont="1"/>
    <xf numFmtId="0" fontId="17" fillId="2" borderId="0" xfId="0" applyFont="1" applyFill="1" applyAlignment="1">
      <alignment horizontal="center" wrapText="1"/>
    </xf>
    <xf numFmtId="171" fontId="20" fillId="2" borderId="0" xfId="7" applyNumberFormat="1" applyFont="1" applyFill="1" applyBorder="1" applyAlignment="1">
      <alignment horizontal="center"/>
    </xf>
    <xf numFmtId="167" fontId="20" fillId="2" borderId="0" xfId="0" applyNumberFormat="1" applyFont="1" applyFill="1" applyAlignment="1">
      <alignment horizontal="center"/>
    </xf>
    <xf numFmtId="0" fontId="20" fillId="2" borderId="0" xfId="0" applyFont="1" applyFill="1" applyAlignment="1">
      <alignment horizontal="center"/>
    </xf>
    <xf numFmtId="171" fontId="33" fillId="2" borderId="0" xfId="7" applyNumberFormat="1" applyFont="1" applyFill="1" applyBorder="1" applyAlignment="1">
      <alignment horizontal="center"/>
    </xf>
    <xf numFmtId="0" fontId="16" fillId="2" borderId="9" xfId="0" applyFont="1" applyFill="1" applyBorder="1" applyAlignment="1">
      <alignment horizontal="center" wrapText="1"/>
    </xf>
    <xf numFmtId="171" fontId="39" fillId="2" borderId="9" xfId="7" applyNumberFormat="1" applyFont="1" applyFill="1" applyBorder="1" applyAlignment="1">
      <alignment horizontal="center"/>
    </xf>
    <xf numFmtId="167" fontId="21" fillId="2" borderId="9" xfId="0" applyNumberFormat="1" applyFont="1" applyFill="1" applyBorder="1" applyAlignment="1">
      <alignment horizontal="center"/>
    </xf>
    <xf numFmtId="0" fontId="20" fillId="2" borderId="9" xfId="0" applyFont="1" applyFill="1" applyBorder="1" applyAlignment="1">
      <alignment horizontal="center"/>
    </xf>
    <xf numFmtId="49" fontId="16" fillId="7" borderId="4" xfId="16" applyFont="1" applyFill="1" applyBorder="1" applyAlignment="1">
      <alignment horizontal="right"/>
    </xf>
    <xf numFmtId="49" fontId="16" fillId="7" borderId="0" xfId="16" applyFont="1" applyFill="1" applyBorder="1" applyAlignment="1">
      <alignment horizontal="right" vertical="center"/>
    </xf>
    <xf numFmtId="49" fontId="16" fillId="7" borderId="4" xfId="0" applyNumberFormat="1" applyFont="1" applyFill="1" applyBorder="1" applyAlignment="1">
      <alignment vertical="center"/>
    </xf>
    <xf numFmtId="0" fontId="16" fillId="2" borderId="0" xfId="0" applyFont="1" applyFill="1" applyAlignment="1">
      <alignment horizontal="left" wrapText="1"/>
    </xf>
    <xf numFmtId="0" fontId="20" fillId="2" borderId="9" xfId="0" applyFont="1" applyFill="1" applyBorder="1"/>
    <xf numFmtId="0" fontId="16" fillId="2" borderId="9" xfId="0" applyFont="1" applyFill="1" applyBorder="1" applyAlignment="1">
      <alignment horizontal="left" wrapText="1"/>
    </xf>
    <xf numFmtId="0" fontId="16" fillId="0" borderId="0" xfId="2" applyFont="1" applyAlignment="1">
      <alignment wrapText="1"/>
    </xf>
    <xf numFmtId="0" fontId="16" fillId="0" borderId="4" xfId="2" applyFont="1" applyBorder="1" applyAlignment="1">
      <alignment horizontal="center"/>
    </xf>
    <xf numFmtId="0" fontId="16" fillId="0" borderId="10" xfId="0" applyFont="1" applyBorder="1" applyAlignment="1">
      <alignment horizontal="center" wrapText="1"/>
    </xf>
    <xf numFmtId="167" fontId="17" fillId="0" borderId="9" xfId="0" applyNumberFormat="1" applyFont="1" applyBorder="1" applyAlignment="1">
      <alignment horizontal="center" vertical="center" wrapText="1"/>
    </xf>
    <xf numFmtId="0" fontId="17" fillId="0" borderId="9" xfId="0" applyFont="1" applyBorder="1" applyAlignment="1">
      <alignment horizontal="center" vertical="center" wrapText="1"/>
    </xf>
    <xf numFmtId="0" fontId="15" fillId="2" borderId="9" xfId="0" applyFont="1" applyFill="1" applyBorder="1" applyAlignment="1">
      <alignment horizontal="center" vertical="center" wrapText="1"/>
    </xf>
    <xf numFmtId="166" fontId="17" fillId="0" borderId="9" xfId="13" applyNumberFormat="1" applyBorder="1" applyAlignment="1">
      <alignment horizontal="center"/>
    </xf>
    <xf numFmtId="0" fontId="17" fillId="2" borderId="9" xfId="2" applyFont="1" applyFill="1" applyBorder="1" applyAlignment="1">
      <alignment horizontal="left" vertical="center" indent="2"/>
    </xf>
    <xf numFmtId="164" fontId="17" fillId="0" borderId="9" xfId="2" applyNumberFormat="1" applyFont="1" applyBorder="1" applyAlignment="1">
      <alignment horizontal="center" vertical="center"/>
    </xf>
    <xf numFmtId="0" fontId="17" fillId="2" borderId="9" xfId="0" applyFont="1" applyFill="1" applyBorder="1" applyAlignment="1">
      <alignment horizontal="center" vertical="center" wrapText="1"/>
    </xf>
    <xf numFmtId="167" fontId="17" fillId="0" borderId="9" xfId="2" applyNumberFormat="1" applyFont="1" applyBorder="1" applyAlignment="1">
      <alignment horizontal="center" vertical="center" wrapText="1"/>
    </xf>
    <xf numFmtId="164" fontId="17" fillId="0" borderId="0" xfId="20" applyNumberFormat="1" applyFont="1" applyAlignment="1">
      <alignment horizontal="left" wrapText="1"/>
    </xf>
    <xf numFmtId="0" fontId="29" fillId="0" borderId="0" xfId="0" applyFont="1" applyAlignment="1">
      <alignment horizontal="center" wrapText="1"/>
    </xf>
    <xf numFmtId="0" fontId="16" fillId="0" borderId="0" xfId="0" applyFont="1" applyAlignment="1">
      <alignment horizontal="left" vertical="center" wrapText="1"/>
    </xf>
    <xf numFmtId="0" fontId="27" fillId="0" borderId="0" xfId="0" applyFont="1" applyAlignment="1">
      <alignment horizontal="center" vertical="center"/>
    </xf>
    <xf numFmtId="0" fontId="27" fillId="0" borderId="9" xfId="0" applyFont="1" applyBorder="1"/>
    <xf numFmtId="0" fontId="16" fillId="0" borderId="10" xfId="0" applyFont="1" applyBorder="1" applyAlignment="1">
      <alignment horizontal="left" vertical="center" wrapText="1"/>
    </xf>
    <xf numFmtId="0" fontId="17" fillId="0" borderId="9" xfId="0" applyFont="1" applyBorder="1" applyAlignment="1">
      <alignment horizontal="center" vertical="center"/>
    </xf>
    <xf numFmtId="0" fontId="17" fillId="0" borderId="0" xfId="0" applyFont="1" applyAlignment="1">
      <alignment vertical="center"/>
    </xf>
    <xf numFmtId="0" fontId="17" fillId="0" borderId="0" xfId="34" applyFont="1" applyAlignment="1">
      <alignment wrapText="1"/>
    </xf>
    <xf numFmtId="164" fontId="17" fillId="0" borderId="9" xfId="0" applyNumberFormat="1" applyFont="1" applyBorder="1" applyAlignment="1">
      <alignment horizontal="center" vertical="center"/>
    </xf>
    <xf numFmtId="49" fontId="22" fillId="2" borderId="0" xfId="0" applyNumberFormat="1" applyFont="1" applyFill="1"/>
    <xf numFmtId="0" fontId="38" fillId="2" borderId="0" xfId="2" applyFont="1" applyFill="1" applyAlignment="1">
      <alignment horizontal="left"/>
    </xf>
    <xf numFmtId="0" fontId="33" fillId="2" borderId="0" xfId="2" applyFont="1" applyFill="1" applyAlignment="1">
      <alignment horizontal="left"/>
    </xf>
    <xf numFmtId="49" fontId="22" fillId="2" borderId="0" xfId="0" applyNumberFormat="1" applyFont="1" applyFill="1" applyAlignment="1">
      <alignment horizontal="left" vertical="top"/>
    </xf>
    <xf numFmtId="166" fontId="33" fillId="0" borderId="9" xfId="0" applyNumberFormat="1" applyFont="1" applyBorder="1" applyAlignment="1">
      <alignment horizontal="center" vertical="center" wrapText="1"/>
    </xf>
    <xf numFmtId="166" fontId="39" fillId="0" borderId="0" xfId="0" applyNumberFormat="1" applyFont="1" applyAlignment="1">
      <alignment horizontal="center" vertical="center" wrapText="1"/>
    </xf>
    <xf numFmtId="166" fontId="88" fillId="3" borderId="0" xfId="0" applyNumberFormat="1" applyFont="1" applyFill="1" applyAlignment="1">
      <alignment horizontal="left" vertical="center" wrapText="1"/>
    </xf>
    <xf numFmtId="166" fontId="33" fillId="3" borderId="0" xfId="0" applyNumberFormat="1" applyFont="1" applyFill="1" applyAlignment="1">
      <alignment horizontal="left" vertical="center"/>
    </xf>
    <xf numFmtId="0" fontId="33" fillId="2" borderId="9" xfId="0" applyFont="1" applyFill="1" applyBorder="1" applyAlignment="1">
      <alignment vertical="center" wrapText="1"/>
    </xf>
    <xf numFmtId="3" fontId="33" fillId="2" borderId="9" xfId="0" applyNumberFormat="1" applyFont="1" applyFill="1" applyBorder="1" applyAlignment="1">
      <alignment horizontal="center" vertical="center" wrapText="1"/>
    </xf>
    <xf numFmtId="0" fontId="33" fillId="2" borderId="0" xfId="0" applyFont="1" applyFill="1" applyAlignment="1">
      <alignment horizontal="left" vertical="center"/>
    </xf>
    <xf numFmtId="0" fontId="17" fillId="2" borderId="0" xfId="0" applyFont="1" applyFill="1" applyAlignment="1">
      <alignment horizontal="left" vertical="center" wrapText="1"/>
    </xf>
    <xf numFmtId="167" fontId="16" fillId="3" borderId="5" xfId="7" applyNumberFormat="1" applyFont="1" applyFill="1" applyBorder="1" applyAlignment="1" applyProtection="1">
      <alignment horizontal="center"/>
    </xf>
    <xf numFmtId="165" fontId="16" fillId="3" borderId="5" xfId="0" applyNumberFormat="1" applyFont="1" applyFill="1" applyBorder="1" applyAlignment="1">
      <alignment horizontal="center" wrapText="1"/>
    </xf>
    <xf numFmtId="165" fontId="17" fillId="3" borderId="5" xfId="0" applyNumberFormat="1" applyFont="1" applyFill="1" applyBorder="1" applyAlignment="1">
      <alignment horizontal="center"/>
    </xf>
    <xf numFmtId="165" fontId="16" fillId="3" borderId="8" xfId="0" applyNumberFormat="1" applyFont="1" applyFill="1" applyBorder="1" applyAlignment="1">
      <alignment horizontal="center" wrapText="1"/>
    </xf>
    <xf numFmtId="165" fontId="16" fillId="2" borderId="5" xfId="0" applyNumberFormat="1" applyFont="1" applyFill="1" applyBorder="1" applyAlignment="1">
      <alignment horizontal="center" wrapText="1"/>
    </xf>
    <xf numFmtId="0" fontId="55" fillId="0" borderId="0" xfId="1" applyFont="1" applyFill="1"/>
    <xf numFmtId="0" fontId="28" fillId="2" borderId="9" xfId="2" applyFont="1" applyFill="1" applyBorder="1" applyAlignment="1">
      <alignment horizontal="left" indent="2"/>
    </xf>
    <xf numFmtId="0" fontId="28" fillId="2" borderId="0" xfId="2" applyFont="1" applyFill="1" applyAlignment="1">
      <alignment horizontal="left" indent="2"/>
    </xf>
    <xf numFmtId="0" fontId="26" fillId="0" borderId="0" xfId="1" applyFont="1" applyBorder="1" applyAlignment="1">
      <alignment horizontal="center" vertical="center"/>
    </xf>
    <xf numFmtId="0" fontId="26" fillId="0" borderId="0" xfId="1" applyFont="1" applyBorder="1" applyAlignment="1">
      <alignment vertical="center"/>
    </xf>
    <xf numFmtId="0" fontId="13" fillId="0" borderId="0" xfId="0" applyFont="1" applyAlignment="1">
      <alignment horizontal="left" wrapText="1"/>
    </xf>
    <xf numFmtId="0" fontId="21" fillId="0" borderId="5" xfId="0" applyFont="1" applyBorder="1" applyAlignment="1">
      <alignment horizontal="center"/>
    </xf>
    <xf numFmtId="0" fontId="26" fillId="8" borderId="1" xfId="1" applyFont="1" applyFill="1" applyBorder="1" applyAlignment="1">
      <alignment horizontal="center" vertical="center"/>
    </xf>
    <xf numFmtId="0" fontId="26" fillId="8" borderId="2" xfId="1" applyFont="1" applyFill="1" applyBorder="1" applyAlignment="1">
      <alignment vertical="center"/>
    </xf>
    <xf numFmtId="0" fontId="23" fillId="2" borderId="0" xfId="2" applyFont="1" applyFill="1" applyAlignment="1">
      <alignment horizontal="left" wrapText="1"/>
    </xf>
    <xf numFmtId="0" fontId="23" fillId="2" borderId="4" xfId="2" applyFont="1" applyFill="1" applyBorder="1" applyAlignment="1">
      <alignment horizontal="left" wrapText="1"/>
    </xf>
    <xf numFmtId="0" fontId="28" fillId="2" borderId="3" xfId="0" applyFont="1" applyFill="1" applyBorder="1" applyAlignment="1">
      <alignment horizontal="center" wrapText="1"/>
    </xf>
    <xf numFmtId="0" fontId="13" fillId="0" borderId="0" xfId="0" applyFont="1" applyAlignment="1">
      <alignment horizontal="left" vertical="center" wrapText="1"/>
    </xf>
    <xf numFmtId="0" fontId="17" fillId="2" borderId="0" xfId="0" applyFont="1" applyFill="1" applyAlignment="1">
      <alignment horizontal="left" wrapText="1"/>
    </xf>
    <xf numFmtId="0" fontId="28" fillId="2" borderId="5" xfId="0" applyFont="1" applyFill="1" applyBorder="1" applyAlignment="1">
      <alignment horizontal="center" wrapText="1"/>
    </xf>
    <xf numFmtId="0" fontId="28" fillId="2" borderId="7" xfId="0" applyFont="1" applyFill="1" applyBorder="1" applyAlignment="1">
      <alignment horizontal="center" wrapText="1"/>
    </xf>
    <xf numFmtId="0" fontId="28" fillId="2" borderId="6" xfId="0" applyFont="1" applyFill="1" applyBorder="1" applyAlignment="1">
      <alignment horizontal="center" wrapText="1"/>
    </xf>
    <xf numFmtId="0" fontId="23" fillId="0" borderId="0" xfId="2" applyFont="1" applyAlignment="1">
      <alignment horizontal="left" wrapText="1"/>
    </xf>
    <xf numFmtId="0" fontId="21" fillId="0" borderId="5" xfId="0" applyFont="1" applyBorder="1" applyAlignment="1">
      <alignment horizontal="center" wrapText="1"/>
    </xf>
    <xf numFmtId="0" fontId="26" fillId="0" borderId="1" xfId="1" applyFont="1" applyBorder="1" applyAlignment="1">
      <alignment horizontal="center" vertical="center"/>
    </xf>
    <xf numFmtId="0" fontId="26" fillId="0" borderId="2" xfId="1" applyFont="1" applyBorder="1" applyAlignment="1">
      <alignment vertical="center"/>
    </xf>
    <xf numFmtId="49" fontId="16" fillId="7" borderId="3" xfId="0" applyNumberFormat="1" applyFont="1" applyFill="1" applyBorder="1" applyAlignment="1">
      <alignment horizontal="center" vertical="center"/>
    </xf>
    <xf numFmtId="49" fontId="16" fillId="7" borderId="9" xfId="0" applyNumberFormat="1" applyFont="1" applyFill="1" applyBorder="1" applyAlignment="1">
      <alignment horizontal="center" vertical="center" wrapText="1"/>
    </xf>
    <xf numFmtId="49" fontId="16" fillId="7" borderId="3" xfId="0" applyNumberFormat="1" applyFont="1" applyFill="1" applyBorder="1" applyAlignment="1">
      <alignment horizontal="center" vertical="center" wrapText="1"/>
    </xf>
    <xf numFmtId="49" fontId="16" fillId="7" borderId="4" xfId="0" applyNumberFormat="1" applyFont="1" applyFill="1" applyBorder="1" applyAlignment="1">
      <alignment horizontal="center" vertical="center" wrapText="1"/>
    </xf>
    <xf numFmtId="0" fontId="86" fillId="0" borderId="0" xfId="0" applyFont="1" applyAlignment="1">
      <alignment horizontal="left" vertical="center" wrapText="1"/>
    </xf>
    <xf numFmtId="49" fontId="16" fillId="7" borderId="3" xfId="16" applyFont="1" applyFill="1" applyBorder="1" applyAlignment="1">
      <alignment horizontal="center" vertical="center" wrapText="1"/>
    </xf>
    <xf numFmtId="49" fontId="16" fillId="7" borderId="3" xfId="16" applyFont="1" applyFill="1" applyBorder="1" applyAlignment="1">
      <alignment horizontal="center"/>
    </xf>
    <xf numFmtId="49" fontId="16" fillId="7" borderId="3" xfId="0" applyNumberFormat="1" applyFont="1" applyFill="1" applyBorder="1" applyAlignment="1">
      <alignment horizontal="center"/>
    </xf>
    <xf numFmtId="49" fontId="16" fillId="7" borderId="3" xfId="16" applyFont="1" applyFill="1" applyBorder="1" applyAlignment="1">
      <alignment horizontal="center" vertical="center"/>
    </xf>
    <xf numFmtId="0" fontId="22" fillId="0" borderId="0" xfId="0" applyFont="1" applyAlignment="1">
      <alignment horizontal="left" vertical="top"/>
    </xf>
    <xf numFmtId="0" fontId="17" fillId="0" borderId="0" xfId="0" applyFont="1" applyAlignment="1">
      <alignment horizontal="left" vertical="top" wrapText="1"/>
    </xf>
    <xf numFmtId="0" fontId="23" fillId="2" borderId="0" xfId="2" applyFont="1" applyFill="1" applyAlignment="1">
      <alignment horizontal="left" vertical="top"/>
    </xf>
    <xf numFmtId="0" fontId="23" fillId="2" borderId="0" xfId="2" applyFont="1" applyFill="1" applyAlignment="1">
      <alignment horizontal="left" vertical="top" wrapText="1"/>
    </xf>
    <xf numFmtId="0" fontId="16" fillId="0" borderId="3" xfId="0" applyFont="1" applyBorder="1" applyAlignment="1">
      <alignment horizontal="center" wrapText="1"/>
    </xf>
    <xf numFmtId="0" fontId="17" fillId="0" borderId="0" xfId="0" applyFont="1" applyAlignment="1">
      <alignment horizontal="left" wrapText="1"/>
    </xf>
    <xf numFmtId="0" fontId="7" fillId="0" borderId="0" xfId="1" applyBorder="1" applyAlignment="1">
      <alignment horizontal="center" vertical="center"/>
    </xf>
    <xf numFmtId="0" fontId="7" fillId="0" borderId="0" xfId="1" applyBorder="1" applyAlignment="1">
      <alignment vertical="center"/>
    </xf>
    <xf numFmtId="0" fontId="16" fillId="0" borderId="0" xfId="2" applyFont="1" applyAlignment="1">
      <alignment horizontal="center"/>
    </xf>
    <xf numFmtId="0" fontId="13" fillId="0" borderId="0" xfId="0" applyFont="1" applyAlignment="1">
      <alignment horizontal="left" vertical="center"/>
    </xf>
    <xf numFmtId="0" fontId="16" fillId="0" borderId="0" xfId="2" applyFont="1" applyAlignment="1">
      <alignment horizontal="center" wrapText="1"/>
    </xf>
    <xf numFmtId="0" fontId="16" fillId="2" borderId="0" xfId="0" applyFont="1" applyFill="1" applyAlignment="1">
      <alignment horizontal="center" wrapText="1"/>
    </xf>
    <xf numFmtId="0" fontId="16" fillId="2" borderId="9" xfId="0" applyFont="1" applyFill="1" applyBorder="1" applyAlignment="1">
      <alignment horizontal="center" wrapText="1"/>
    </xf>
    <xf numFmtId="0" fontId="16" fillId="2" borderId="3" xfId="0" applyFont="1" applyFill="1" applyBorder="1" applyAlignment="1">
      <alignment horizontal="center" vertical="center"/>
    </xf>
    <xf numFmtId="0" fontId="16" fillId="0" borderId="3" xfId="0" applyFont="1" applyBorder="1" applyAlignment="1">
      <alignment horizontal="center" vertical="center"/>
    </xf>
    <xf numFmtId="0" fontId="16" fillId="0" borderId="10" xfId="2" applyFont="1" applyBorder="1" applyAlignment="1">
      <alignment horizontal="center" wrapText="1"/>
    </xf>
    <xf numFmtId="164" fontId="17" fillId="0" borderId="0" xfId="0" applyNumberFormat="1" applyFont="1" applyAlignment="1">
      <alignment horizontal="left" wrapText="1"/>
    </xf>
    <xf numFmtId="0" fontId="20" fillId="2" borderId="0" xfId="0" applyFont="1" applyFill="1" applyAlignment="1">
      <alignment horizontal="left" wrapText="1"/>
    </xf>
    <xf numFmtId="0" fontId="20" fillId="0" borderId="0" xfId="0" applyFont="1" applyAlignment="1">
      <alignment horizontal="left" vertical="center" wrapText="1"/>
    </xf>
    <xf numFmtId="49" fontId="17" fillId="0" borderId="0" xfId="0" applyNumberFormat="1" applyFont="1" applyAlignment="1">
      <alignment horizontal="left" wrapText="1"/>
    </xf>
    <xf numFmtId="0" fontId="16" fillId="0" borderId="4" xfId="2" applyFont="1" applyBorder="1" applyAlignment="1">
      <alignment horizontal="center"/>
    </xf>
    <xf numFmtId="0" fontId="14" fillId="0" borderId="0" xfId="0" applyFont="1"/>
    <xf numFmtId="0" fontId="16" fillId="0" borderId="9" xfId="0" applyFont="1" applyBorder="1" applyAlignment="1">
      <alignment horizontal="center" wrapText="1"/>
    </xf>
    <xf numFmtId="0" fontId="23" fillId="2" borderId="4" xfId="2" applyFont="1" applyFill="1" applyBorder="1" applyAlignment="1">
      <alignment horizontal="left" vertical="top" wrapText="1"/>
    </xf>
    <xf numFmtId="0" fontId="17" fillId="2" borderId="0" xfId="1" applyNumberFormat="1" applyFont="1" applyFill="1" applyBorder="1" applyAlignment="1" applyProtection="1">
      <alignment horizontal="left" vertical="top" wrapText="1"/>
    </xf>
    <xf numFmtId="0" fontId="19" fillId="0" borderId="0" xfId="0" applyFont="1" applyAlignment="1">
      <alignment horizontal="left" vertical="center" wrapText="1"/>
    </xf>
    <xf numFmtId="0" fontId="16" fillId="0" borderId="3" xfId="0" applyFont="1" applyBorder="1" applyAlignment="1">
      <alignment horizontal="center" vertical="center" wrapText="1"/>
    </xf>
    <xf numFmtId="164" fontId="17" fillId="0" borderId="0" xfId="20" applyNumberFormat="1" applyFont="1" applyAlignment="1">
      <alignment horizontal="left" wrapText="1"/>
    </xf>
    <xf numFmtId="0" fontId="14" fillId="0" borderId="0" xfId="0" applyFont="1" applyAlignment="1">
      <alignment horizontal="left"/>
    </xf>
    <xf numFmtId="0" fontId="17" fillId="0" borderId="0" xfId="0" applyFont="1" applyAlignment="1">
      <alignment horizontal="left" vertical="center" wrapText="1"/>
    </xf>
    <xf numFmtId="0" fontId="16" fillId="0" borderId="0" xfId="0" applyFont="1" applyAlignment="1">
      <alignment horizontal="center" wrapText="1"/>
    </xf>
    <xf numFmtId="0" fontId="17" fillId="0" borderId="4" xfId="34" applyFont="1" applyBorder="1" applyAlignment="1">
      <alignment horizontal="left" wrapText="1"/>
    </xf>
    <xf numFmtId="0" fontId="17" fillId="3" borderId="0" xfId="0" applyFont="1" applyFill="1" applyAlignment="1">
      <alignment horizontal="left"/>
    </xf>
    <xf numFmtId="0" fontId="23" fillId="3" borderId="0" xfId="0" applyFont="1" applyFill="1" applyAlignment="1">
      <alignment horizontal="left"/>
    </xf>
    <xf numFmtId="164" fontId="16" fillId="0" borderId="3" xfId="0" applyNumberFormat="1" applyFont="1" applyBorder="1" applyAlignment="1">
      <alignment horizontal="center"/>
    </xf>
    <xf numFmtId="164" fontId="16" fillId="0" borderId="3" xfId="3" applyNumberFormat="1" applyFont="1" applyBorder="1" applyAlignment="1">
      <alignment horizontal="center"/>
    </xf>
    <xf numFmtId="0" fontId="38" fillId="3" borderId="0" xfId="0" applyFont="1" applyFill="1" applyAlignment="1">
      <alignment horizontal="left"/>
    </xf>
    <xf numFmtId="0" fontId="23" fillId="3" borderId="0" xfId="0" applyFont="1" applyFill="1" applyAlignment="1">
      <alignment horizontal="left" wrapText="1"/>
    </xf>
    <xf numFmtId="0" fontId="13" fillId="0" borderId="5" xfId="0" applyFont="1" applyBorder="1" applyAlignment="1">
      <alignment horizontal="left" vertical="center" wrapText="1"/>
    </xf>
    <xf numFmtId="0" fontId="21" fillId="0" borderId="3" xfId="0" applyFont="1" applyBorder="1" applyAlignment="1">
      <alignment horizontal="center" vertical="center" wrapText="1"/>
    </xf>
    <xf numFmtId="0" fontId="21" fillId="0" borderId="9" xfId="0" applyFont="1" applyBorder="1" applyAlignment="1">
      <alignment horizontal="center" vertical="center"/>
    </xf>
    <xf numFmtId="0" fontId="21" fillId="0" borderId="4" xfId="0" applyFont="1" applyBorder="1" applyAlignment="1">
      <alignment horizontal="center" vertical="center" wrapText="1"/>
    </xf>
    <xf numFmtId="164" fontId="16" fillId="0" borderId="3" xfId="0" applyNumberFormat="1" applyFont="1" applyBorder="1" applyAlignment="1">
      <alignment horizontal="center" vertical="center" wrapText="1"/>
    </xf>
    <xf numFmtId="0" fontId="21" fillId="0" borderId="9" xfId="0" applyFont="1" applyBorder="1" applyAlignment="1">
      <alignment horizontal="center"/>
    </xf>
    <xf numFmtId="0" fontId="21" fillId="0" borderId="3" xfId="0" applyFont="1" applyBorder="1" applyAlignment="1">
      <alignment horizontal="center" wrapText="1"/>
    </xf>
    <xf numFmtId="49" fontId="17" fillId="2" borderId="0" xfId="0" applyNumberFormat="1" applyFont="1" applyFill="1" applyAlignment="1">
      <alignment horizontal="left" wrapText="1"/>
    </xf>
    <xf numFmtId="3" fontId="16" fillId="2" borderId="4" xfId="18" applyNumberFormat="1" applyFont="1" applyFill="1" applyBorder="1" applyAlignment="1">
      <alignment horizontal="center" wrapText="1"/>
    </xf>
    <xf numFmtId="49" fontId="17" fillId="2" borderId="0" xfId="0" applyNumberFormat="1" applyFont="1" applyFill="1" applyAlignment="1">
      <alignment horizontal="left" vertical="top" wrapText="1"/>
    </xf>
    <xf numFmtId="3" fontId="16" fillId="2" borderId="7" xfId="18" applyNumberFormat="1" applyFont="1" applyFill="1" applyBorder="1" applyAlignment="1">
      <alignment horizontal="center" vertical="top" wrapText="1"/>
    </xf>
    <xf numFmtId="0" fontId="13" fillId="0" borderId="0" xfId="0" applyFont="1" applyAlignment="1">
      <alignment vertical="center" wrapText="1"/>
    </xf>
    <xf numFmtId="0" fontId="29" fillId="0" borderId="0" xfId="0" applyFont="1" applyAlignment="1">
      <alignment horizontal="center"/>
    </xf>
    <xf numFmtId="0" fontId="20" fillId="0" borderId="0" xfId="0" applyFont="1" applyAlignment="1">
      <alignment horizontal="left"/>
    </xf>
    <xf numFmtId="0" fontId="2" fillId="0" borderId="0" xfId="0" applyFont="1" applyAlignment="1">
      <alignment horizontal="center"/>
    </xf>
    <xf numFmtId="0" fontId="20" fillId="0" borderId="0" xfId="0" applyFont="1" applyAlignment="1">
      <alignment horizontal="left" wrapText="1"/>
    </xf>
    <xf numFmtId="0" fontId="21" fillId="3" borderId="3" xfId="0" applyFont="1" applyFill="1" applyBorder="1" applyAlignment="1">
      <alignment horizontal="center" vertical="center" wrapText="1"/>
    </xf>
    <xf numFmtId="0" fontId="20" fillId="2" borderId="0" xfId="0" applyFont="1" applyFill="1" applyAlignment="1">
      <alignment horizontal="left"/>
    </xf>
    <xf numFmtId="0" fontId="26" fillId="2" borderId="1" xfId="1" applyFont="1" applyFill="1" applyBorder="1" applyAlignment="1">
      <alignment horizontal="center" vertical="center"/>
    </xf>
    <xf numFmtId="0" fontId="26" fillId="2" borderId="2" xfId="1" applyFont="1" applyFill="1" applyBorder="1" applyAlignment="1">
      <alignment vertical="center"/>
    </xf>
    <xf numFmtId="0" fontId="7" fillId="2" borderId="0" xfId="1" applyFill="1" applyBorder="1" applyAlignment="1">
      <alignment horizontal="center" vertical="center"/>
    </xf>
    <xf numFmtId="0" fontId="13" fillId="2" borderId="0" xfId="0" applyFont="1" applyFill="1" applyAlignment="1">
      <alignment horizontal="left" vertical="center" wrapText="1"/>
    </xf>
    <xf numFmtId="0" fontId="14" fillId="2" borderId="0" xfId="0" applyFont="1" applyFill="1"/>
    <xf numFmtId="0" fontId="21" fillId="2" borderId="3" xfId="0" applyFont="1" applyFill="1" applyBorder="1" applyAlignment="1">
      <alignment horizontal="center" vertical="center" wrapText="1"/>
    </xf>
    <xf numFmtId="0" fontId="2" fillId="2" borderId="0" xfId="0" applyFont="1" applyFill="1" applyAlignment="1">
      <alignment horizontal="center"/>
    </xf>
    <xf numFmtId="0" fontId="49" fillId="0" borderId="0" xfId="1" applyFont="1"/>
    <xf numFmtId="0" fontId="43" fillId="0" borderId="0" xfId="0" applyFont="1" applyAlignment="1">
      <alignment wrapText="1"/>
    </xf>
    <xf numFmtId="0" fontId="49" fillId="0" borderId="0" xfId="1" applyFont="1" applyBorder="1" applyAlignment="1">
      <alignment horizontal="center" vertical="center"/>
    </xf>
    <xf numFmtId="0" fontId="49" fillId="0" borderId="0" xfId="1" applyFont="1" applyBorder="1" applyAlignment="1">
      <alignment vertical="center"/>
    </xf>
    <xf numFmtId="49" fontId="43" fillId="0" borderId="0" xfId="0" applyNumberFormat="1" applyFont="1" applyAlignment="1">
      <alignment horizontal="left" wrapText="1"/>
    </xf>
    <xf numFmtId="0" fontId="43" fillId="0" borderId="0" xfId="0" applyFont="1"/>
    <xf numFmtId="0" fontId="43" fillId="0" borderId="0" xfId="0" applyFont="1" applyAlignment="1">
      <alignment vertical="center" wrapText="1"/>
    </xf>
    <xf numFmtId="0" fontId="58" fillId="0" borderId="0" xfId="0" applyFont="1" applyAlignment="1">
      <alignment horizontal="left" vertical="center" wrapText="1"/>
    </xf>
    <xf numFmtId="0" fontId="49" fillId="0" borderId="0" xfId="1" quotePrefix="1" applyFont="1"/>
    <xf numFmtId="49" fontId="49" fillId="0" borderId="0" xfId="1" applyNumberFormat="1" applyFont="1" applyAlignment="1">
      <alignment horizontal="left" wrapText="1"/>
    </xf>
    <xf numFmtId="0" fontId="49" fillId="0" borderId="0" xfId="1" applyFont="1" applyAlignment="1">
      <alignment horizontal="left" vertical="center" wrapText="1"/>
    </xf>
    <xf numFmtId="0" fontId="49" fillId="0" borderId="0" xfId="1" applyFont="1" applyAlignment="1">
      <alignment horizontal="left" vertical="center"/>
    </xf>
    <xf numFmtId="0" fontId="49" fillId="0" borderId="0" xfId="1" applyFont="1" applyAlignment="1">
      <alignment horizontal="left"/>
    </xf>
    <xf numFmtId="0" fontId="43" fillId="0" borderId="0" xfId="0" applyFont="1" applyAlignment="1">
      <alignment horizontal="left" vertical="center" wrapText="1"/>
    </xf>
  </cellXfs>
  <cellStyles count="35">
    <cellStyle name="AIHW Body" xfId="6" xr:uid="{00000000-0005-0000-0000-000000000000}"/>
    <cellStyle name="AIHW Caption" xfId="16" xr:uid="{00000000-0005-0000-0000-000001000000}"/>
    <cellStyle name="AIHW Column Heading" xfId="18" xr:uid="{00000000-0005-0000-0000-000002000000}"/>
    <cellStyle name="cells 2" xfId="9" xr:uid="{00000000-0005-0000-0000-000003000000}"/>
    <cellStyle name="Comma" xfId="7" builtinId="3"/>
    <cellStyle name="Hyperlink" xfId="1" builtinId="8"/>
    <cellStyle name="Hyperlink 2" xfId="23" xr:uid="{02F93F0D-8DAC-4F1E-B378-2CA5DE9B541E}"/>
    <cellStyle name="Hyperlink 2 2" xfId="25" xr:uid="{A0E55EB0-C592-44A7-9CFB-BDCC4E3C6BA0}"/>
    <cellStyle name="Normal" xfId="0" builtinId="0"/>
    <cellStyle name="Normal 10 2" xfId="32" xr:uid="{F60F6D92-0412-4F13-8D55-3168D399BE46}"/>
    <cellStyle name="Normal 10 7" xfId="10" xr:uid="{00000000-0005-0000-0000-000007000000}"/>
    <cellStyle name="Normal 14" xfId="17" xr:uid="{00000000-0005-0000-0000-000008000000}"/>
    <cellStyle name="Normal 2" xfId="2" xr:uid="{00000000-0005-0000-0000-000009000000}"/>
    <cellStyle name="Normal 2 10 2 5 3" xfId="20" xr:uid="{DB32F72D-D74E-49C3-93C1-4C86A13BCF41}"/>
    <cellStyle name="Normal 2 16" xfId="24" xr:uid="{5F5ED691-FE39-4537-B30A-E4F533CED870}"/>
    <cellStyle name="Normal 2 2" xfId="11" xr:uid="{00000000-0005-0000-0000-00000A000000}"/>
    <cellStyle name="Normal 2 6 10" xfId="26" xr:uid="{1582C70D-41E7-4335-82B7-6F244E671C5D}"/>
    <cellStyle name="Normal 22" xfId="33" xr:uid="{75977B22-90F9-432C-8F24-63F0856DB7B0}"/>
    <cellStyle name="Normal 29" xfId="19" xr:uid="{00000000-0005-0000-0000-00000B000000}"/>
    <cellStyle name="Normal 3" xfId="34" xr:uid="{9CEDD3EA-BAD5-4C0F-9CC6-F1F96DD5A036}"/>
    <cellStyle name="Normal 3 2 3" xfId="30" xr:uid="{553F5181-1386-4484-8FFA-4C48E7032F5C}"/>
    <cellStyle name="Normal 3 5" xfId="22" xr:uid="{57B210A3-4FA8-47C2-9216-33B124AFDBD9}"/>
    <cellStyle name="Normal 4" xfId="4" xr:uid="{00000000-0005-0000-0000-00000C000000}"/>
    <cellStyle name="Normal 8" xfId="15" xr:uid="{00000000-0005-0000-0000-00000D000000}"/>
    <cellStyle name="rowfield 2" xfId="8" xr:uid="{00000000-0005-0000-0000-00000E000000}"/>
    <cellStyle name="Style6" xfId="5" xr:uid="{00000000-0005-0000-0000-00000F000000}"/>
    <cellStyle name="Style6 2" xfId="28" xr:uid="{80819074-E30E-4F3B-86F9-864154E9DB9A}"/>
    <cellStyle name="Style7" xfId="31" xr:uid="{AA11EA73-940A-408D-B9DB-08A8F91B4616}"/>
    <cellStyle name="Style8" xfId="3" xr:uid="{00000000-0005-0000-0000-000010000000}"/>
    <cellStyle name="Style8 2" xfId="29" xr:uid="{7F1EE4BB-178D-45E6-9920-8AF518D5EBEC}"/>
    <cellStyle name="Style8 4" xfId="14" xr:uid="{00000000-0005-0000-0000-000011000000}"/>
    <cellStyle name="Style8 9" xfId="12" xr:uid="{00000000-0005-0000-0000-000012000000}"/>
    <cellStyle name="Style9" xfId="13" xr:uid="{00000000-0005-0000-0000-000013000000}"/>
    <cellStyle name="Style9 12" xfId="21" xr:uid="{D87BE0C9-C42F-4767-96B7-D002FC5ECC9D}"/>
    <cellStyle name="Style9 2" xfId="27" xr:uid="{8E558BA6-C48B-4E41-AE9F-06734B516C4F}"/>
  </cellStyles>
  <dxfs count="0"/>
  <tableStyles count="0" defaultTableStyle="TableStyleMedium2" defaultPivotStyle="PivotStyleLight16"/>
  <colors>
    <mruColors>
      <color rgb="FF003A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2</xdr:col>
      <xdr:colOff>378870</xdr:colOff>
      <xdr:row>2</xdr:row>
      <xdr:rowOff>29325</xdr:rowOff>
    </xdr:to>
    <xdr:pic>
      <xdr:nvPicPr>
        <xdr:cNvPr id="3" name="Picture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0"/>
          <a:ext cx="1712370" cy="70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47625</xdr:colOff>
      <xdr:row>0</xdr:row>
      <xdr:rowOff>19050</xdr:rowOff>
    </xdr:from>
    <xdr:to>
      <xdr:col>2</xdr:col>
      <xdr:colOff>190500</xdr:colOff>
      <xdr:row>3</xdr:row>
      <xdr:rowOff>171450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19050"/>
          <a:ext cx="1714500"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1714500</xdr:colOff>
      <xdr:row>3</xdr:row>
      <xdr:rowOff>152400</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14500"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38100</xdr:colOff>
      <xdr:row>3</xdr:row>
      <xdr:rowOff>152400</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14500"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170968</xdr:colOff>
      <xdr:row>4</xdr:row>
      <xdr:rowOff>28575</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66418"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428625</xdr:colOff>
      <xdr:row>3</xdr:row>
      <xdr:rowOff>114300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145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1104900</xdr:colOff>
      <xdr:row>3</xdr:row>
      <xdr:rowOff>152400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1450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76200</xdr:colOff>
      <xdr:row>4</xdr:row>
      <xdr:rowOff>114300</xdr:rowOff>
    </xdr:to>
    <xdr:pic>
      <xdr:nvPicPr>
        <xdr:cNvPr id="3" name="Picture 2">
          <a:extLst>
            <a:ext uri="{FF2B5EF4-FFF2-40B4-BE49-F238E27FC236}">
              <a16:creationId xmlns:a16="http://schemas.microsoft.com/office/drawing/2014/main" id="{D17DBCEC-3834-485A-BC2C-A4AAD4FBD1D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14500"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1104900</xdr:colOff>
      <xdr:row>4</xdr:row>
      <xdr:rowOff>0</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14500"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1104900</xdr:colOff>
      <xdr:row>3</xdr:row>
      <xdr:rowOff>114300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1450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238125</xdr:colOff>
      <xdr:row>3</xdr:row>
      <xdr:rowOff>189035</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1450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1104900</xdr:colOff>
      <xdr:row>3</xdr:row>
      <xdr:rowOff>152400</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14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1104900</xdr:colOff>
      <xdr:row>3</xdr:row>
      <xdr:rowOff>118027</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1450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oneCellAnchor>
    <xdr:from>
      <xdr:col>0</xdr:col>
      <xdr:colOff>0</xdr:colOff>
      <xdr:row>0</xdr:row>
      <xdr:rowOff>0</xdr:rowOff>
    </xdr:from>
    <xdr:ext cx="1714500" cy="714375"/>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1450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76200</xdr:colOff>
      <xdr:row>0</xdr:row>
      <xdr:rowOff>76200</xdr:rowOff>
    </xdr:from>
    <xdr:to>
      <xdr:col>2</xdr:col>
      <xdr:colOff>800100</xdr:colOff>
      <xdr:row>3</xdr:row>
      <xdr:rowOff>152400</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76200"/>
          <a:ext cx="171450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285750</xdr:colOff>
      <xdr:row>3</xdr:row>
      <xdr:rowOff>76200</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14500"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1104900</xdr:colOff>
      <xdr:row>3</xdr:row>
      <xdr:rowOff>76200</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1450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123825</xdr:colOff>
      <xdr:row>3</xdr:row>
      <xdr:rowOff>74735</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1450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123825</xdr:colOff>
      <xdr:row>3</xdr:row>
      <xdr:rowOff>103310</xdr:rowOff>
    </xdr:to>
    <xdr:pic>
      <xdr:nvPicPr>
        <xdr:cNvPr id="6" name="Picture 5">
          <a:extLst>
            <a:ext uri="{FF2B5EF4-FFF2-40B4-BE49-F238E27FC236}">
              <a16:creationId xmlns:a16="http://schemas.microsoft.com/office/drawing/2014/main" id="{A61EB5BE-E28B-4018-A5A0-E3BE3E2132C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14500" cy="674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3</xdr:col>
      <xdr:colOff>104775</xdr:colOff>
      <xdr:row>4</xdr:row>
      <xdr:rowOff>27332</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38100"/>
          <a:ext cx="225742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abs.gov.au/methodologies/national-health-survey-first-results-methodology/2017-18"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8" Type="http://schemas.openxmlformats.org/officeDocument/2006/relationships/hyperlink" Target="https://www.aihw.gov.au/reports/cancer/cancer-data-in-australia/contents/about" TargetMode="External"/><Relationship Id="rId3" Type="http://schemas.openxmlformats.org/officeDocument/2006/relationships/hyperlink" Target="https://www.abs.gov.au/methodologies/national-health-survey-first-results-methodology/2020-21" TargetMode="External"/><Relationship Id="rId7" Type="http://schemas.openxmlformats.org/officeDocument/2006/relationships/hyperlink" Target="https://data.kirby.unsw.edu.au/" TargetMode="External"/><Relationship Id="rId2" Type="http://schemas.openxmlformats.org/officeDocument/2006/relationships/hyperlink" Target="https://www.abs.gov.au/methodologies/causes-death-australia-methodology/2021" TargetMode="External"/><Relationship Id="rId1" Type="http://schemas.openxmlformats.org/officeDocument/2006/relationships/hyperlink" Target="https://www.aihw.gov.au/about-our-data/our-data-collections/national-mortality-database" TargetMode="External"/><Relationship Id="rId6" Type="http://schemas.openxmlformats.org/officeDocument/2006/relationships/hyperlink" Target="https://www.health.gov.au/resources/apps-and-tools/national-notifiable-diseases-surveillance-system-nndss-data-visualisation-tool" TargetMode="External"/><Relationship Id="rId5" Type="http://schemas.openxmlformats.org/officeDocument/2006/relationships/hyperlink" Target="https://www.abs.gov.au/methodologies/causes-death-australia-methodology/2021" TargetMode="External"/><Relationship Id="rId10" Type="http://schemas.openxmlformats.org/officeDocument/2006/relationships/drawing" Target="../drawings/drawing20.xml"/><Relationship Id="rId4" Type="http://schemas.openxmlformats.org/officeDocument/2006/relationships/hyperlink" Target="https://meteor.aihw.gov.au/content/index.phtml/itemId/641349" TargetMode="External"/><Relationship Id="rId9"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6"/>
  <sheetViews>
    <sheetView showGridLines="0" tabSelected="1" zoomScaleNormal="100" workbookViewId="0">
      <selection activeCell="A5" sqref="A5"/>
    </sheetView>
  </sheetViews>
  <sheetFormatPr defaultRowHeight="15"/>
  <cols>
    <col min="1" max="2" width="10.140625" customWidth="1"/>
    <col min="3" max="3" width="13.140625" customWidth="1"/>
    <col min="4" max="4" width="11.5703125" customWidth="1"/>
    <col min="8" max="8" width="8.5703125" customWidth="1"/>
    <col min="9" max="9" width="3.5703125" customWidth="1"/>
    <col min="10" max="10" width="4" customWidth="1"/>
    <col min="11" max="11" width="10" customWidth="1"/>
    <col min="13" max="13" width="10.5703125" customWidth="1"/>
    <col min="258" max="258" width="10.140625" customWidth="1"/>
    <col min="259" max="259" width="18.42578125" customWidth="1"/>
    <col min="260" max="260" width="11.5703125" customWidth="1"/>
    <col min="264" max="264" width="8.5703125" customWidth="1"/>
    <col min="265" max="265" width="3.5703125" customWidth="1"/>
    <col min="266" max="266" width="4" customWidth="1"/>
    <col min="267" max="267" width="10" customWidth="1"/>
    <col min="269" max="269" width="10.5703125" customWidth="1"/>
    <col min="514" max="514" width="10.140625" customWidth="1"/>
    <col min="515" max="515" width="18.42578125" customWidth="1"/>
    <col min="516" max="516" width="11.5703125" customWidth="1"/>
    <col min="520" max="520" width="8.5703125" customWidth="1"/>
    <col min="521" max="521" width="3.5703125" customWidth="1"/>
    <col min="522" max="522" width="4" customWidth="1"/>
    <col min="523" max="523" width="10" customWidth="1"/>
    <col min="525" max="525" width="10.5703125" customWidth="1"/>
    <col min="770" max="770" width="10.140625" customWidth="1"/>
    <col min="771" max="771" width="18.42578125" customWidth="1"/>
    <col min="772" max="772" width="11.5703125" customWidth="1"/>
    <col min="776" max="776" width="8.5703125" customWidth="1"/>
    <col min="777" max="777" width="3.5703125" customWidth="1"/>
    <col min="778" max="778" width="4" customWidth="1"/>
    <col min="779" max="779" width="10" customWidth="1"/>
    <col min="781" max="781" width="10.5703125" customWidth="1"/>
    <col min="1026" max="1026" width="10.140625" customWidth="1"/>
    <col min="1027" max="1027" width="18.42578125" customWidth="1"/>
    <col min="1028" max="1028" width="11.5703125" customWidth="1"/>
    <col min="1032" max="1032" width="8.5703125" customWidth="1"/>
    <col min="1033" max="1033" width="3.5703125" customWidth="1"/>
    <col min="1034" max="1034" width="4" customWidth="1"/>
    <col min="1035" max="1035" width="10" customWidth="1"/>
    <col min="1037" max="1037" width="10.5703125" customWidth="1"/>
    <col min="1282" max="1282" width="10.140625" customWidth="1"/>
    <col min="1283" max="1283" width="18.42578125" customWidth="1"/>
    <col min="1284" max="1284" width="11.5703125" customWidth="1"/>
    <col min="1288" max="1288" width="8.5703125" customWidth="1"/>
    <col min="1289" max="1289" width="3.5703125" customWidth="1"/>
    <col min="1290" max="1290" width="4" customWidth="1"/>
    <col min="1291" max="1291" width="10" customWidth="1"/>
    <col min="1293" max="1293" width="10.5703125" customWidth="1"/>
    <col min="1538" max="1538" width="10.140625" customWidth="1"/>
    <col min="1539" max="1539" width="18.42578125" customWidth="1"/>
    <col min="1540" max="1540" width="11.5703125" customWidth="1"/>
    <col min="1544" max="1544" width="8.5703125" customWidth="1"/>
    <col min="1545" max="1545" width="3.5703125" customWidth="1"/>
    <col min="1546" max="1546" width="4" customWidth="1"/>
    <col min="1547" max="1547" width="10" customWidth="1"/>
    <col min="1549" max="1549" width="10.5703125" customWidth="1"/>
    <col min="1794" max="1794" width="10.140625" customWidth="1"/>
    <col min="1795" max="1795" width="18.42578125" customWidth="1"/>
    <col min="1796" max="1796" width="11.5703125" customWidth="1"/>
    <col min="1800" max="1800" width="8.5703125" customWidth="1"/>
    <col min="1801" max="1801" width="3.5703125" customWidth="1"/>
    <col min="1802" max="1802" width="4" customWidth="1"/>
    <col min="1803" max="1803" width="10" customWidth="1"/>
    <col min="1805" max="1805" width="10.5703125" customWidth="1"/>
    <col min="2050" max="2050" width="10.140625" customWidth="1"/>
    <col min="2051" max="2051" width="18.42578125" customWidth="1"/>
    <col min="2052" max="2052" width="11.5703125" customWidth="1"/>
    <col min="2056" max="2056" width="8.5703125" customWidth="1"/>
    <col min="2057" max="2057" width="3.5703125" customWidth="1"/>
    <col min="2058" max="2058" width="4" customWidth="1"/>
    <col min="2059" max="2059" width="10" customWidth="1"/>
    <col min="2061" max="2061" width="10.5703125" customWidth="1"/>
    <col min="2306" max="2306" width="10.140625" customWidth="1"/>
    <col min="2307" max="2307" width="18.42578125" customWidth="1"/>
    <col min="2308" max="2308" width="11.5703125" customWidth="1"/>
    <col min="2312" max="2312" width="8.5703125" customWidth="1"/>
    <col min="2313" max="2313" width="3.5703125" customWidth="1"/>
    <col min="2314" max="2314" width="4" customWidth="1"/>
    <col min="2315" max="2315" width="10" customWidth="1"/>
    <col min="2317" max="2317" width="10.5703125" customWidth="1"/>
    <col min="2562" max="2562" width="10.140625" customWidth="1"/>
    <col min="2563" max="2563" width="18.42578125" customWidth="1"/>
    <col min="2564" max="2564" width="11.5703125" customWidth="1"/>
    <col min="2568" max="2568" width="8.5703125" customWidth="1"/>
    <col min="2569" max="2569" width="3.5703125" customWidth="1"/>
    <col min="2570" max="2570" width="4" customWidth="1"/>
    <col min="2571" max="2571" width="10" customWidth="1"/>
    <col min="2573" max="2573" width="10.5703125" customWidth="1"/>
    <col min="2818" max="2818" width="10.140625" customWidth="1"/>
    <col min="2819" max="2819" width="18.42578125" customWidth="1"/>
    <col min="2820" max="2820" width="11.5703125" customWidth="1"/>
    <col min="2824" max="2824" width="8.5703125" customWidth="1"/>
    <col min="2825" max="2825" width="3.5703125" customWidth="1"/>
    <col min="2826" max="2826" width="4" customWidth="1"/>
    <col min="2827" max="2827" width="10" customWidth="1"/>
    <col min="2829" max="2829" width="10.5703125" customWidth="1"/>
    <col min="3074" max="3074" width="10.140625" customWidth="1"/>
    <col min="3075" max="3075" width="18.42578125" customWidth="1"/>
    <col min="3076" max="3076" width="11.5703125" customWidth="1"/>
    <col min="3080" max="3080" width="8.5703125" customWidth="1"/>
    <col min="3081" max="3081" width="3.5703125" customWidth="1"/>
    <col min="3082" max="3082" width="4" customWidth="1"/>
    <col min="3083" max="3083" width="10" customWidth="1"/>
    <col min="3085" max="3085" width="10.5703125" customWidth="1"/>
    <col min="3330" max="3330" width="10.140625" customWidth="1"/>
    <col min="3331" max="3331" width="18.42578125" customWidth="1"/>
    <col min="3332" max="3332" width="11.5703125" customWidth="1"/>
    <col min="3336" max="3336" width="8.5703125" customWidth="1"/>
    <col min="3337" max="3337" width="3.5703125" customWidth="1"/>
    <col min="3338" max="3338" width="4" customWidth="1"/>
    <col min="3339" max="3339" width="10" customWidth="1"/>
    <col min="3341" max="3341" width="10.5703125" customWidth="1"/>
    <col min="3586" max="3586" width="10.140625" customWidth="1"/>
    <col min="3587" max="3587" width="18.42578125" customWidth="1"/>
    <col min="3588" max="3588" width="11.5703125" customWidth="1"/>
    <col min="3592" max="3592" width="8.5703125" customWidth="1"/>
    <col min="3593" max="3593" width="3.5703125" customWidth="1"/>
    <col min="3594" max="3594" width="4" customWidth="1"/>
    <col min="3595" max="3595" width="10" customWidth="1"/>
    <col min="3597" max="3597" width="10.5703125" customWidth="1"/>
    <col min="3842" max="3842" width="10.140625" customWidth="1"/>
    <col min="3843" max="3843" width="18.42578125" customWidth="1"/>
    <col min="3844" max="3844" width="11.5703125" customWidth="1"/>
    <col min="3848" max="3848" width="8.5703125" customWidth="1"/>
    <col min="3849" max="3849" width="3.5703125" customWidth="1"/>
    <col min="3850" max="3850" width="4" customWidth="1"/>
    <col min="3851" max="3851" width="10" customWidth="1"/>
    <col min="3853" max="3853" width="10.5703125" customWidth="1"/>
    <col min="4098" max="4098" width="10.140625" customWidth="1"/>
    <col min="4099" max="4099" width="18.42578125" customWidth="1"/>
    <col min="4100" max="4100" width="11.5703125" customWidth="1"/>
    <col min="4104" max="4104" width="8.5703125" customWidth="1"/>
    <col min="4105" max="4105" width="3.5703125" customWidth="1"/>
    <col min="4106" max="4106" width="4" customWidth="1"/>
    <col min="4107" max="4107" width="10" customWidth="1"/>
    <col min="4109" max="4109" width="10.5703125" customWidth="1"/>
    <col min="4354" max="4354" width="10.140625" customWidth="1"/>
    <col min="4355" max="4355" width="18.42578125" customWidth="1"/>
    <col min="4356" max="4356" width="11.5703125" customWidth="1"/>
    <col min="4360" max="4360" width="8.5703125" customWidth="1"/>
    <col min="4361" max="4361" width="3.5703125" customWidth="1"/>
    <col min="4362" max="4362" width="4" customWidth="1"/>
    <col min="4363" max="4363" width="10" customWidth="1"/>
    <col min="4365" max="4365" width="10.5703125" customWidth="1"/>
    <col min="4610" max="4610" width="10.140625" customWidth="1"/>
    <col min="4611" max="4611" width="18.42578125" customWidth="1"/>
    <col min="4612" max="4612" width="11.5703125" customWidth="1"/>
    <col min="4616" max="4616" width="8.5703125" customWidth="1"/>
    <col min="4617" max="4617" width="3.5703125" customWidth="1"/>
    <col min="4618" max="4618" width="4" customWidth="1"/>
    <col min="4619" max="4619" width="10" customWidth="1"/>
    <col min="4621" max="4621" width="10.5703125" customWidth="1"/>
    <col min="4866" max="4866" width="10.140625" customWidth="1"/>
    <col min="4867" max="4867" width="18.42578125" customWidth="1"/>
    <col min="4868" max="4868" width="11.5703125" customWidth="1"/>
    <col min="4872" max="4872" width="8.5703125" customWidth="1"/>
    <col min="4873" max="4873" width="3.5703125" customWidth="1"/>
    <col min="4874" max="4874" width="4" customWidth="1"/>
    <col min="4875" max="4875" width="10" customWidth="1"/>
    <col min="4877" max="4877" width="10.5703125" customWidth="1"/>
    <col min="5122" max="5122" width="10.140625" customWidth="1"/>
    <col min="5123" max="5123" width="18.42578125" customWidth="1"/>
    <col min="5124" max="5124" width="11.5703125" customWidth="1"/>
    <col min="5128" max="5128" width="8.5703125" customWidth="1"/>
    <col min="5129" max="5129" width="3.5703125" customWidth="1"/>
    <col min="5130" max="5130" width="4" customWidth="1"/>
    <col min="5131" max="5131" width="10" customWidth="1"/>
    <col min="5133" max="5133" width="10.5703125" customWidth="1"/>
    <col min="5378" max="5378" width="10.140625" customWidth="1"/>
    <col min="5379" max="5379" width="18.42578125" customWidth="1"/>
    <col min="5380" max="5380" width="11.5703125" customWidth="1"/>
    <col min="5384" max="5384" width="8.5703125" customWidth="1"/>
    <col min="5385" max="5385" width="3.5703125" customWidth="1"/>
    <col min="5386" max="5386" width="4" customWidth="1"/>
    <col min="5387" max="5387" width="10" customWidth="1"/>
    <col min="5389" max="5389" width="10.5703125" customWidth="1"/>
    <col min="5634" max="5634" width="10.140625" customWidth="1"/>
    <col min="5635" max="5635" width="18.42578125" customWidth="1"/>
    <col min="5636" max="5636" width="11.5703125" customWidth="1"/>
    <col min="5640" max="5640" width="8.5703125" customWidth="1"/>
    <col min="5641" max="5641" width="3.5703125" customWidth="1"/>
    <col min="5642" max="5642" width="4" customWidth="1"/>
    <col min="5643" max="5643" width="10" customWidth="1"/>
    <col min="5645" max="5645" width="10.5703125" customWidth="1"/>
    <col min="5890" max="5890" width="10.140625" customWidth="1"/>
    <col min="5891" max="5891" width="18.42578125" customWidth="1"/>
    <col min="5892" max="5892" width="11.5703125" customWidth="1"/>
    <col min="5896" max="5896" width="8.5703125" customWidth="1"/>
    <col min="5897" max="5897" width="3.5703125" customWidth="1"/>
    <col min="5898" max="5898" width="4" customWidth="1"/>
    <col min="5899" max="5899" width="10" customWidth="1"/>
    <col min="5901" max="5901" width="10.5703125" customWidth="1"/>
    <col min="6146" max="6146" width="10.140625" customWidth="1"/>
    <col min="6147" max="6147" width="18.42578125" customWidth="1"/>
    <col min="6148" max="6148" width="11.5703125" customWidth="1"/>
    <col min="6152" max="6152" width="8.5703125" customWidth="1"/>
    <col min="6153" max="6153" width="3.5703125" customWidth="1"/>
    <col min="6154" max="6154" width="4" customWidth="1"/>
    <col min="6155" max="6155" width="10" customWidth="1"/>
    <col min="6157" max="6157" width="10.5703125" customWidth="1"/>
    <col min="6402" max="6402" width="10.140625" customWidth="1"/>
    <col min="6403" max="6403" width="18.42578125" customWidth="1"/>
    <col min="6404" max="6404" width="11.5703125" customWidth="1"/>
    <col min="6408" max="6408" width="8.5703125" customWidth="1"/>
    <col min="6409" max="6409" width="3.5703125" customWidth="1"/>
    <col min="6410" max="6410" width="4" customWidth="1"/>
    <col min="6411" max="6411" width="10" customWidth="1"/>
    <col min="6413" max="6413" width="10.5703125" customWidth="1"/>
    <col min="6658" max="6658" width="10.140625" customWidth="1"/>
    <col min="6659" max="6659" width="18.42578125" customWidth="1"/>
    <col min="6660" max="6660" width="11.5703125" customWidth="1"/>
    <col min="6664" max="6664" width="8.5703125" customWidth="1"/>
    <col min="6665" max="6665" width="3.5703125" customWidth="1"/>
    <col min="6666" max="6666" width="4" customWidth="1"/>
    <col min="6667" max="6667" width="10" customWidth="1"/>
    <col min="6669" max="6669" width="10.5703125" customWidth="1"/>
    <col min="6914" max="6914" width="10.140625" customWidth="1"/>
    <col min="6915" max="6915" width="18.42578125" customWidth="1"/>
    <col min="6916" max="6916" width="11.5703125" customWidth="1"/>
    <col min="6920" max="6920" width="8.5703125" customWidth="1"/>
    <col min="6921" max="6921" width="3.5703125" customWidth="1"/>
    <col min="6922" max="6922" width="4" customWidth="1"/>
    <col min="6923" max="6923" width="10" customWidth="1"/>
    <col min="6925" max="6925" width="10.5703125" customWidth="1"/>
    <col min="7170" max="7170" width="10.140625" customWidth="1"/>
    <col min="7171" max="7171" width="18.42578125" customWidth="1"/>
    <col min="7172" max="7172" width="11.5703125" customWidth="1"/>
    <col min="7176" max="7176" width="8.5703125" customWidth="1"/>
    <col min="7177" max="7177" width="3.5703125" customWidth="1"/>
    <col min="7178" max="7178" width="4" customWidth="1"/>
    <col min="7179" max="7179" width="10" customWidth="1"/>
    <col min="7181" max="7181" width="10.5703125" customWidth="1"/>
    <col min="7426" max="7426" width="10.140625" customWidth="1"/>
    <col min="7427" max="7427" width="18.42578125" customWidth="1"/>
    <col min="7428" max="7428" width="11.5703125" customWidth="1"/>
    <col min="7432" max="7432" width="8.5703125" customWidth="1"/>
    <col min="7433" max="7433" width="3.5703125" customWidth="1"/>
    <col min="7434" max="7434" width="4" customWidth="1"/>
    <col min="7435" max="7435" width="10" customWidth="1"/>
    <col min="7437" max="7437" width="10.5703125" customWidth="1"/>
    <col min="7682" max="7682" width="10.140625" customWidth="1"/>
    <col min="7683" max="7683" width="18.42578125" customWidth="1"/>
    <col min="7684" max="7684" width="11.5703125" customWidth="1"/>
    <col min="7688" max="7688" width="8.5703125" customWidth="1"/>
    <col min="7689" max="7689" width="3.5703125" customWidth="1"/>
    <col min="7690" max="7690" width="4" customWidth="1"/>
    <col min="7691" max="7691" width="10" customWidth="1"/>
    <col min="7693" max="7693" width="10.5703125" customWidth="1"/>
    <col min="7938" max="7938" width="10.140625" customWidth="1"/>
    <col min="7939" max="7939" width="18.42578125" customWidth="1"/>
    <col min="7940" max="7940" width="11.5703125" customWidth="1"/>
    <col min="7944" max="7944" width="8.5703125" customWidth="1"/>
    <col min="7945" max="7945" width="3.5703125" customWidth="1"/>
    <col min="7946" max="7946" width="4" customWidth="1"/>
    <col min="7947" max="7947" width="10" customWidth="1"/>
    <col min="7949" max="7949" width="10.5703125" customWidth="1"/>
    <col min="8194" max="8194" width="10.140625" customWidth="1"/>
    <col min="8195" max="8195" width="18.42578125" customWidth="1"/>
    <col min="8196" max="8196" width="11.5703125" customWidth="1"/>
    <col min="8200" max="8200" width="8.5703125" customWidth="1"/>
    <col min="8201" max="8201" width="3.5703125" customWidth="1"/>
    <col min="8202" max="8202" width="4" customWidth="1"/>
    <col min="8203" max="8203" width="10" customWidth="1"/>
    <col min="8205" max="8205" width="10.5703125" customWidth="1"/>
    <col min="8450" max="8450" width="10.140625" customWidth="1"/>
    <col min="8451" max="8451" width="18.42578125" customWidth="1"/>
    <col min="8452" max="8452" width="11.5703125" customWidth="1"/>
    <col min="8456" max="8456" width="8.5703125" customWidth="1"/>
    <col min="8457" max="8457" width="3.5703125" customWidth="1"/>
    <col min="8458" max="8458" width="4" customWidth="1"/>
    <col min="8459" max="8459" width="10" customWidth="1"/>
    <col min="8461" max="8461" width="10.5703125" customWidth="1"/>
    <col min="8706" max="8706" width="10.140625" customWidth="1"/>
    <col min="8707" max="8707" width="18.42578125" customWidth="1"/>
    <col min="8708" max="8708" width="11.5703125" customWidth="1"/>
    <col min="8712" max="8712" width="8.5703125" customWidth="1"/>
    <col min="8713" max="8713" width="3.5703125" customWidth="1"/>
    <col min="8714" max="8714" width="4" customWidth="1"/>
    <col min="8715" max="8715" width="10" customWidth="1"/>
    <col min="8717" max="8717" width="10.5703125" customWidth="1"/>
    <col min="8962" max="8962" width="10.140625" customWidth="1"/>
    <col min="8963" max="8963" width="18.42578125" customWidth="1"/>
    <col min="8964" max="8964" width="11.5703125" customWidth="1"/>
    <col min="8968" max="8968" width="8.5703125" customWidth="1"/>
    <col min="8969" max="8969" width="3.5703125" customWidth="1"/>
    <col min="8970" max="8970" width="4" customWidth="1"/>
    <col min="8971" max="8971" width="10" customWidth="1"/>
    <col min="8973" max="8973" width="10.5703125" customWidth="1"/>
    <col min="9218" max="9218" width="10.140625" customWidth="1"/>
    <col min="9219" max="9219" width="18.42578125" customWidth="1"/>
    <col min="9220" max="9220" width="11.5703125" customWidth="1"/>
    <col min="9224" max="9224" width="8.5703125" customWidth="1"/>
    <col min="9225" max="9225" width="3.5703125" customWidth="1"/>
    <col min="9226" max="9226" width="4" customWidth="1"/>
    <col min="9227" max="9227" width="10" customWidth="1"/>
    <col min="9229" max="9229" width="10.5703125" customWidth="1"/>
    <col min="9474" max="9474" width="10.140625" customWidth="1"/>
    <col min="9475" max="9475" width="18.42578125" customWidth="1"/>
    <col min="9476" max="9476" width="11.5703125" customWidth="1"/>
    <col min="9480" max="9480" width="8.5703125" customWidth="1"/>
    <col min="9481" max="9481" width="3.5703125" customWidth="1"/>
    <col min="9482" max="9482" width="4" customWidth="1"/>
    <col min="9483" max="9483" width="10" customWidth="1"/>
    <col min="9485" max="9485" width="10.5703125" customWidth="1"/>
    <col min="9730" max="9730" width="10.140625" customWidth="1"/>
    <col min="9731" max="9731" width="18.42578125" customWidth="1"/>
    <col min="9732" max="9732" width="11.5703125" customWidth="1"/>
    <col min="9736" max="9736" width="8.5703125" customWidth="1"/>
    <col min="9737" max="9737" width="3.5703125" customWidth="1"/>
    <col min="9738" max="9738" width="4" customWidth="1"/>
    <col min="9739" max="9739" width="10" customWidth="1"/>
    <col min="9741" max="9741" width="10.5703125" customWidth="1"/>
    <col min="9986" max="9986" width="10.140625" customWidth="1"/>
    <col min="9987" max="9987" width="18.42578125" customWidth="1"/>
    <col min="9988" max="9988" width="11.5703125" customWidth="1"/>
    <col min="9992" max="9992" width="8.5703125" customWidth="1"/>
    <col min="9993" max="9993" width="3.5703125" customWidth="1"/>
    <col min="9994" max="9994" width="4" customWidth="1"/>
    <col min="9995" max="9995" width="10" customWidth="1"/>
    <col min="9997" max="9997" width="10.5703125" customWidth="1"/>
    <col min="10242" max="10242" width="10.140625" customWidth="1"/>
    <col min="10243" max="10243" width="18.42578125" customWidth="1"/>
    <col min="10244" max="10244" width="11.5703125" customWidth="1"/>
    <col min="10248" max="10248" width="8.5703125" customWidth="1"/>
    <col min="10249" max="10249" width="3.5703125" customWidth="1"/>
    <col min="10250" max="10250" width="4" customWidth="1"/>
    <col min="10251" max="10251" width="10" customWidth="1"/>
    <col min="10253" max="10253" width="10.5703125" customWidth="1"/>
    <col min="10498" max="10498" width="10.140625" customWidth="1"/>
    <col min="10499" max="10499" width="18.42578125" customWidth="1"/>
    <col min="10500" max="10500" width="11.5703125" customWidth="1"/>
    <col min="10504" max="10504" width="8.5703125" customWidth="1"/>
    <col min="10505" max="10505" width="3.5703125" customWidth="1"/>
    <col min="10506" max="10506" width="4" customWidth="1"/>
    <col min="10507" max="10507" width="10" customWidth="1"/>
    <col min="10509" max="10509" width="10.5703125" customWidth="1"/>
    <col min="10754" max="10754" width="10.140625" customWidth="1"/>
    <col min="10755" max="10755" width="18.42578125" customWidth="1"/>
    <col min="10756" max="10756" width="11.5703125" customWidth="1"/>
    <col min="10760" max="10760" width="8.5703125" customWidth="1"/>
    <col min="10761" max="10761" width="3.5703125" customWidth="1"/>
    <col min="10762" max="10762" width="4" customWidth="1"/>
    <col min="10763" max="10763" width="10" customWidth="1"/>
    <col min="10765" max="10765" width="10.5703125" customWidth="1"/>
    <col min="11010" max="11010" width="10.140625" customWidth="1"/>
    <col min="11011" max="11011" width="18.42578125" customWidth="1"/>
    <col min="11012" max="11012" width="11.5703125" customWidth="1"/>
    <col min="11016" max="11016" width="8.5703125" customWidth="1"/>
    <col min="11017" max="11017" width="3.5703125" customWidth="1"/>
    <col min="11018" max="11018" width="4" customWidth="1"/>
    <col min="11019" max="11019" width="10" customWidth="1"/>
    <col min="11021" max="11021" width="10.5703125" customWidth="1"/>
    <col min="11266" max="11266" width="10.140625" customWidth="1"/>
    <col min="11267" max="11267" width="18.42578125" customWidth="1"/>
    <col min="11268" max="11268" width="11.5703125" customWidth="1"/>
    <col min="11272" max="11272" width="8.5703125" customWidth="1"/>
    <col min="11273" max="11273" width="3.5703125" customWidth="1"/>
    <col min="11274" max="11274" width="4" customWidth="1"/>
    <col min="11275" max="11275" width="10" customWidth="1"/>
    <col min="11277" max="11277" width="10.5703125" customWidth="1"/>
    <col min="11522" max="11522" width="10.140625" customWidth="1"/>
    <col min="11523" max="11523" width="18.42578125" customWidth="1"/>
    <col min="11524" max="11524" width="11.5703125" customWidth="1"/>
    <col min="11528" max="11528" width="8.5703125" customWidth="1"/>
    <col min="11529" max="11529" width="3.5703125" customWidth="1"/>
    <col min="11530" max="11530" width="4" customWidth="1"/>
    <col min="11531" max="11531" width="10" customWidth="1"/>
    <col min="11533" max="11533" width="10.5703125" customWidth="1"/>
    <col min="11778" max="11778" width="10.140625" customWidth="1"/>
    <col min="11779" max="11779" width="18.42578125" customWidth="1"/>
    <col min="11780" max="11780" width="11.5703125" customWidth="1"/>
    <col min="11784" max="11784" width="8.5703125" customWidth="1"/>
    <col min="11785" max="11785" width="3.5703125" customWidth="1"/>
    <col min="11786" max="11786" width="4" customWidth="1"/>
    <col min="11787" max="11787" width="10" customWidth="1"/>
    <col min="11789" max="11789" width="10.5703125" customWidth="1"/>
    <col min="12034" max="12034" width="10.140625" customWidth="1"/>
    <col min="12035" max="12035" width="18.42578125" customWidth="1"/>
    <col min="12036" max="12036" width="11.5703125" customWidth="1"/>
    <col min="12040" max="12040" width="8.5703125" customWidth="1"/>
    <col min="12041" max="12041" width="3.5703125" customWidth="1"/>
    <col min="12042" max="12042" width="4" customWidth="1"/>
    <col min="12043" max="12043" width="10" customWidth="1"/>
    <col min="12045" max="12045" width="10.5703125" customWidth="1"/>
    <col min="12290" max="12290" width="10.140625" customWidth="1"/>
    <col min="12291" max="12291" width="18.42578125" customWidth="1"/>
    <col min="12292" max="12292" width="11.5703125" customWidth="1"/>
    <col min="12296" max="12296" width="8.5703125" customWidth="1"/>
    <col min="12297" max="12297" width="3.5703125" customWidth="1"/>
    <col min="12298" max="12298" width="4" customWidth="1"/>
    <col min="12299" max="12299" width="10" customWidth="1"/>
    <col min="12301" max="12301" width="10.5703125" customWidth="1"/>
    <col min="12546" max="12546" width="10.140625" customWidth="1"/>
    <col min="12547" max="12547" width="18.42578125" customWidth="1"/>
    <col min="12548" max="12548" width="11.5703125" customWidth="1"/>
    <col min="12552" max="12552" width="8.5703125" customWidth="1"/>
    <col min="12553" max="12553" width="3.5703125" customWidth="1"/>
    <col min="12554" max="12554" width="4" customWidth="1"/>
    <col min="12555" max="12555" width="10" customWidth="1"/>
    <col min="12557" max="12557" width="10.5703125" customWidth="1"/>
    <col min="12802" max="12802" width="10.140625" customWidth="1"/>
    <col min="12803" max="12803" width="18.42578125" customWidth="1"/>
    <col min="12804" max="12804" width="11.5703125" customWidth="1"/>
    <col min="12808" max="12808" width="8.5703125" customWidth="1"/>
    <col min="12809" max="12809" width="3.5703125" customWidth="1"/>
    <col min="12810" max="12810" width="4" customWidth="1"/>
    <col min="12811" max="12811" width="10" customWidth="1"/>
    <col min="12813" max="12813" width="10.5703125" customWidth="1"/>
    <col min="13058" max="13058" width="10.140625" customWidth="1"/>
    <col min="13059" max="13059" width="18.42578125" customWidth="1"/>
    <col min="13060" max="13060" width="11.5703125" customWidth="1"/>
    <col min="13064" max="13064" width="8.5703125" customWidth="1"/>
    <col min="13065" max="13065" width="3.5703125" customWidth="1"/>
    <col min="13066" max="13066" width="4" customWidth="1"/>
    <col min="13067" max="13067" width="10" customWidth="1"/>
    <col min="13069" max="13069" width="10.5703125" customWidth="1"/>
    <col min="13314" max="13314" width="10.140625" customWidth="1"/>
    <col min="13315" max="13315" width="18.42578125" customWidth="1"/>
    <col min="13316" max="13316" width="11.5703125" customWidth="1"/>
    <col min="13320" max="13320" width="8.5703125" customWidth="1"/>
    <col min="13321" max="13321" width="3.5703125" customWidth="1"/>
    <col min="13322" max="13322" width="4" customWidth="1"/>
    <col min="13323" max="13323" width="10" customWidth="1"/>
    <col min="13325" max="13325" width="10.5703125" customWidth="1"/>
    <col min="13570" max="13570" width="10.140625" customWidth="1"/>
    <col min="13571" max="13571" width="18.42578125" customWidth="1"/>
    <col min="13572" max="13572" width="11.5703125" customWidth="1"/>
    <col min="13576" max="13576" width="8.5703125" customWidth="1"/>
    <col min="13577" max="13577" width="3.5703125" customWidth="1"/>
    <col min="13578" max="13578" width="4" customWidth="1"/>
    <col min="13579" max="13579" width="10" customWidth="1"/>
    <col min="13581" max="13581" width="10.5703125" customWidth="1"/>
    <col min="13826" max="13826" width="10.140625" customWidth="1"/>
    <col min="13827" max="13827" width="18.42578125" customWidth="1"/>
    <col min="13828" max="13828" width="11.5703125" customWidth="1"/>
    <col min="13832" max="13832" width="8.5703125" customWidth="1"/>
    <col min="13833" max="13833" width="3.5703125" customWidth="1"/>
    <col min="13834" max="13834" width="4" customWidth="1"/>
    <col min="13835" max="13835" width="10" customWidth="1"/>
    <col min="13837" max="13837" width="10.5703125" customWidth="1"/>
    <col min="14082" max="14082" width="10.140625" customWidth="1"/>
    <col min="14083" max="14083" width="18.42578125" customWidth="1"/>
    <col min="14084" max="14084" width="11.5703125" customWidth="1"/>
    <col min="14088" max="14088" width="8.5703125" customWidth="1"/>
    <col min="14089" max="14089" width="3.5703125" customWidth="1"/>
    <col min="14090" max="14090" width="4" customWidth="1"/>
    <col min="14091" max="14091" width="10" customWidth="1"/>
    <col min="14093" max="14093" width="10.5703125" customWidth="1"/>
    <col min="14338" max="14338" width="10.140625" customWidth="1"/>
    <col min="14339" max="14339" width="18.42578125" customWidth="1"/>
    <col min="14340" max="14340" width="11.5703125" customWidth="1"/>
    <col min="14344" max="14344" width="8.5703125" customWidth="1"/>
    <col min="14345" max="14345" width="3.5703125" customWidth="1"/>
    <col min="14346" max="14346" width="4" customWidth="1"/>
    <col min="14347" max="14347" width="10" customWidth="1"/>
    <col min="14349" max="14349" width="10.5703125" customWidth="1"/>
    <col min="14594" max="14594" width="10.140625" customWidth="1"/>
    <col min="14595" max="14595" width="18.42578125" customWidth="1"/>
    <col min="14596" max="14596" width="11.5703125" customWidth="1"/>
    <col min="14600" max="14600" width="8.5703125" customWidth="1"/>
    <col min="14601" max="14601" width="3.5703125" customWidth="1"/>
    <col min="14602" max="14602" width="4" customWidth="1"/>
    <col min="14603" max="14603" width="10" customWidth="1"/>
    <col min="14605" max="14605" width="10.5703125" customWidth="1"/>
    <col min="14850" max="14850" width="10.140625" customWidth="1"/>
    <col min="14851" max="14851" width="18.42578125" customWidth="1"/>
    <col min="14852" max="14852" width="11.5703125" customWidth="1"/>
    <col min="14856" max="14856" width="8.5703125" customWidth="1"/>
    <col min="14857" max="14857" width="3.5703125" customWidth="1"/>
    <col min="14858" max="14858" width="4" customWidth="1"/>
    <col min="14859" max="14859" width="10" customWidth="1"/>
    <col min="14861" max="14861" width="10.5703125" customWidth="1"/>
    <col min="15106" max="15106" width="10.140625" customWidth="1"/>
    <col min="15107" max="15107" width="18.42578125" customWidth="1"/>
    <col min="15108" max="15108" width="11.5703125" customWidth="1"/>
    <col min="15112" max="15112" width="8.5703125" customWidth="1"/>
    <col min="15113" max="15113" width="3.5703125" customWidth="1"/>
    <col min="15114" max="15114" width="4" customWidth="1"/>
    <col min="15115" max="15115" width="10" customWidth="1"/>
    <col min="15117" max="15117" width="10.5703125" customWidth="1"/>
    <col min="15362" max="15362" width="10.140625" customWidth="1"/>
    <col min="15363" max="15363" width="18.42578125" customWidth="1"/>
    <col min="15364" max="15364" width="11.5703125" customWidth="1"/>
    <col min="15368" max="15368" width="8.5703125" customWidth="1"/>
    <col min="15369" max="15369" width="3.5703125" customWidth="1"/>
    <col min="15370" max="15370" width="4" customWidth="1"/>
    <col min="15371" max="15371" width="10" customWidth="1"/>
    <col min="15373" max="15373" width="10.5703125" customWidth="1"/>
    <col min="15618" max="15618" width="10.140625" customWidth="1"/>
    <col min="15619" max="15619" width="18.42578125" customWidth="1"/>
    <col min="15620" max="15620" width="11.5703125" customWidth="1"/>
    <col min="15624" max="15624" width="8.5703125" customWidth="1"/>
    <col min="15625" max="15625" width="3.5703125" customWidth="1"/>
    <col min="15626" max="15626" width="4" customWidth="1"/>
    <col min="15627" max="15627" width="10" customWidth="1"/>
    <col min="15629" max="15629" width="10.5703125" customWidth="1"/>
    <col min="15874" max="15874" width="10.140625" customWidth="1"/>
    <col min="15875" max="15875" width="18.42578125" customWidth="1"/>
    <col min="15876" max="15876" width="11.5703125" customWidth="1"/>
    <col min="15880" max="15880" width="8.5703125" customWidth="1"/>
    <col min="15881" max="15881" width="3.5703125" customWidth="1"/>
    <col min="15882" max="15882" width="4" customWidth="1"/>
    <col min="15883" max="15883" width="10" customWidth="1"/>
    <col min="15885" max="15885" width="10.5703125" customWidth="1"/>
    <col min="16130" max="16130" width="10.140625" customWidth="1"/>
    <col min="16131" max="16131" width="18.42578125" customWidth="1"/>
    <col min="16132" max="16132" width="11.5703125" customWidth="1"/>
    <col min="16136" max="16136" width="8.5703125" customWidth="1"/>
    <col min="16137" max="16137" width="3.5703125" customWidth="1"/>
    <col min="16138" max="16138" width="4" customWidth="1"/>
    <col min="16139" max="16139" width="10" customWidth="1"/>
    <col min="16141" max="16141" width="10.5703125" customWidth="1"/>
  </cols>
  <sheetData>
    <row r="1" spans="1:21" ht="30">
      <c r="A1" s="1"/>
      <c r="B1" s="1"/>
    </row>
    <row r="2" spans="1:21" ht="23.25">
      <c r="A2" s="2"/>
      <c r="B2" s="2"/>
      <c r="K2" s="112"/>
      <c r="L2" s="113"/>
      <c r="M2" s="112"/>
    </row>
    <row r="3" spans="1:21">
      <c r="A3" s="3"/>
      <c r="B3" s="3"/>
      <c r="K3" s="112"/>
      <c r="L3" s="114"/>
      <c r="M3" s="115"/>
    </row>
    <row r="4" spans="1:21" ht="15.75">
      <c r="A4" s="4"/>
      <c r="B4" s="4"/>
    </row>
    <row r="5" spans="1:21" ht="15.75" customHeight="1">
      <c r="A5" s="4"/>
      <c r="B5" s="4"/>
    </row>
    <row r="6" spans="1:21" ht="30.75" customHeight="1">
      <c r="A6" s="3"/>
      <c r="B6" s="3"/>
      <c r="C6" s="117" t="s">
        <v>0</v>
      </c>
      <c r="D6" s="116"/>
      <c r="E6" s="116"/>
      <c r="F6" s="116"/>
      <c r="G6" s="116"/>
      <c r="H6" s="116"/>
    </row>
    <row r="7" spans="1:21" ht="18">
      <c r="C7" s="5" t="s">
        <v>1</v>
      </c>
    </row>
    <row r="8" spans="1:21">
      <c r="B8" s="112"/>
      <c r="C8" s="208"/>
      <c r="D8" s="197"/>
      <c r="E8" s="197"/>
      <c r="F8" s="197"/>
      <c r="G8" s="197"/>
      <c r="H8" s="197"/>
      <c r="I8" s="197"/>
      <c r="J8" s="197"/>
      <c r="K8" s="197"/>
      <c r="L8" s="197"/>
    </row>
    <row r="9" spans="1:21" ht="15.75" customHeight="1">
      <c r="A9" s="342"/>
      <c r="B9" s="341"/>
      <c r="C9" s="491" t="s">
        <v>515</v>
      </c>
      <c r="D9" s="199" t="s">
        <v>1051</v>
      </c>
      <c r="E9" s="199"/>
      <c r="F9" s="199"/>
      <c r="G9" s="199"/>
      <c r="H9" s="199"/>
      <c r="I9" s="199"/>
      <c r="J9" s="199"/>
      <c r="K9" s="199"/>
      <c r="L9" s="199"/>
      <c r="M9" s="199"/>
      <c r="N9" s="112"/>
      <c r="O9" s="112"/>
      <c r="P9" s="112"/>
      <c r="Q9" s="112"/>
      <c r="R9" s="112"/>
      <c r="S9" s="112"/>
      <c r="T9" s="112"/>
      <c r="U9" s="112"/>
    </row>
    <row r="10" spans="1:21" ht="15.75" customHeight="1">
      <c r="A10" s="342"/>
      <c r="B10" s="35"/>
      <c r="C10" s="491" t="s">
        <v>516</v>
      </c>
      <c r="D10" s="200" t="s">
        <v>1052</v>
      </c>
      <c r="E10" s="200"/>
      <c r="F10" s="200"/>
      <c r="G10" s="200"/>
      <c r="H10" s="200"/>
      <c r="I10" s="200"/>
      <c r="J10" s="200"/>
      <c r="K10" s="200"/>
      <c r="L10" s="200"/>
      <c r="M10" s="200"/>
      <c r="N10" s="112"/>
      <c r="O10" s="112"/>
      <c r="P10" s="112"/>
      <c r="Q10" s="112"/>
      <c r="R10" s="112"/>
      <c r="S10" s="112"/>
      <c r="T10" s="112"/>
      <c r="U10" s="112"/>
    </row>
    <row r="11" spans="1:21" ht="15.75" customHeight="1">
      <c r="A11" s="342"/>
      <c r="B11" s="35"/>
      <c r="C11" s="491" t="s">
        <v>517</v>
      </c>
      <c r="D11" s="199" t="s">
        <v>1053</v>
      </c>
      <c r="E11" s="199"/>
      <c r="F11" s="199"/>
      <c r="G11" s="199"/>
      <c r="H11" s="199"/>
      <c r="I11" s="199"/>
      <c r="J11" s="199"/>
      <c r="K11" s="199"/>
      <c r="L11" s="199"/>
      <c r="M11" s="199"/>
      <c r="N11" s="201"/>
      <c r="O11" s="112"/>
      <c r="P11" s="112"/>
      <c r="Q11" s="112"/>
      <c r="R11" s="112"/>
      <c r="S11" s="112"/>
      <c r="T11" s="112"/>
      <c r="U11" s="112"/>
    </row>
    <row r="12" spans="1:21">
      <c r="A12" s="342"/>
      <c r="B12" s="35"/>
      <c r="C12" s="491" t="s">
        <v>518</v>
      </c>
      <c r="D12" s="202" t="s">
        <v>737</v>
      </c>
      <c r="E12" s="202"/>
      <c r="F12" s="202"/>
      <c r="G12" s="202"/>
      <c r="H12" s="202"/>
      <c r="I12" s="202"/>
      <c r="J12" s="202"/>
      <c r="K12" s="202"/>
      <c r="L12" s="202"/>
      <c r="M12" s="202"/>
      <c r="N12" s="201"/>
      <c r="O12" s="112"/>
      <c r="P12" s="112"/>
      <c r="Q12" s="112"/>
      <c r="R12" s="112"/>
      <c r="S12" s="112"/>
      <c r="T12" s="112"/>
      <c r="U12" s="112"/>
    </row>
    <row r="13" spans="1:21">
      <c r="A13" s="342"/>
      <c r="B13" s="35"/>
      <c r="C13" s="491" t="s">
        <v>519</v>
      </c>
      <c r="D13" s="202" t="s">
        <v>798</v>
      </c>
      <c r="E13" s="202"/>
      <c r="F13" s="202"/>
      <c r="G13" s="202"/>
      <c r="H13" s="202"/>
      <c r="I13" s="202"/>
      <c r="J13" s="202"/>
      <c r="K13" s="202"/>
      <c r="L13" s="202"/>
      <c r="M13" s="202"/>
      <c r="N13" s="112"/>
      <c r="O13" s="112"/>
      <c r="P13" s="112"/>
      <c r="Q13" s="112"/>
      <c r="R13" s="112"/>
      <c r="S13" s="112"/>
      <c r="T13" s="112"/>
      <c r="U13" s="112"/>
    </row>
    <row r="14" spans="1:21">
      <c r="A14" s="342"/>
      <c r="B14" s="35"/>
      <c r="C14" s="491" t="s">
        <v>520</v>
      </c>
      <c r="D14" s="202" t="s">
        <v>1056</v>
      </c>
      <c r="E14" s="202"/>
      <c r="F14" s="202"/>
      <c r="G14" s="202"/>
      <c r="H14" s="202"/>
      <c r="I14" s="202"/>
      <c r="J14" s="202"/>
      <c r="K14" s="202"/>
      <c r="L14" s="202"/>
      <c r="M14" s="202"/>
      <c r="N14" s="112"/>
      <c r="O14" s="112"/>
      <c r="P14" s="112"/>
      <c r="Q14" s="112"/>
      <c r="R14" s="112"/>
      <c r="S14" s="112"/>
      <c r="T14" s="112"/>
      <c r="U14" s="112"/>
    </row>
    <row r="15" spans="1:21">
      <c r="A15" s="342"/>
      <c r="B15" s="35"/>
      <c r="C15" s="491" t="s">
        <v>521</v>
      </c>
      <c r="D15" s="202" t="s">
        <v>1054</v>
      </c>
      <c r="E15" s="202"/>
      <c r="F15" s="202"/>
      <c r="G15" s="202"/>
      <c r="H15" s="202"/>
      <c r="I15" s="202"/>
      <c r="J15" s="202"/>
      <c r="K15" s="202"/>
      <c r="L15" s="202"/>
      <c r="M15" s="202"/>
      <c r="N15" s="112"/>
      <c r="O15" s="112"/>
      <c r="P15" s="112"/>
      <c r="Q15" s="112"/>
      <c r="R15" s="112"/>
      <c r="S15" s="112"/>
      <c r="T15" s="112"/>
      <c r="U15" s="112"/>
    </row>
    <row r="16" spans="1:21">
      <c r="A16" s="342"/>
      <c r="B16" s="35"/>
      <c r="C16" s="491" t="s">
        <v>522</v>
      </c>
      <c r="D16" s="199" t="s">
        <v>1055</v>
      </c>
      <c r="E16" s="199"/>
      <c r="F16" s="202"/>
      <c r="G16" s="202"/>
      <c r="H16" s="202"/>
      <c r="I16" s="202"/>
      <c r="J16" s="202"/>
      <c r="K16" s="202"/>
      <c r="L16" s="202"/>
      <c r="M16" s="202"/>
      <c r="N16" s="112"/>
      <c r="O16" s="112"/>
      <c r="P16" s="112"/>
      <c r="Q16" s="112"/>
      <c r="R16" s="112"/>
      <c r="S16" s="112"/>
      <c r="T16" s="112"/>
      <c r="U16" s="112"/>
    </row>
    <row r="17" spans="1:21">
      <c r="A17" s="342"/>
      <c r="B17" s="35"/>
      <c r="C17" s="491" t="s">
        <v>1057</v>
      </c>
      <c r="D17" s="199" t="s">
        <v>800</v>
      </c>
      <c r="E17" s="199"/>
      <c r="F17" s="199"/>
      <c r="G17" s="199"/>
      <c r="H17" s="199"/>
      <c r="I17" s="199"/>
      <c r="J17" s="199"/>
      <c r="K17" s="199"/>
      <c r="L17" s="199"/>
      <c r="M17" s="199"/>
      <c r="N17" s="112"/>
      <c r="O17" s="112"/>
      <c r="P17" s="112"/>
      <c r="Q17" s="112"/>
      <c r="R17" s="112"/>
      <c r="S17" s="112"/>
      <c r="T17" s="112"/>
      <c r="U17" s="112"/>
    </row>
    <row r="18" spans="1:21">
      <c r="A18" s="342"/>
      <c r="B18" s="35"/>
      <c r="C18" s="491" t="s">
        <v>1058</v>
      </c>
      <c r="D18" s="199" t="s">
        <v>1059</v>
      </c>
      <c r="E18" s="199"/>
      <c r="F18" s="199"/>
      <c r="G18" s="199"/>
      <c r="H18" s="199"/>
      <c r="I18" s="199"/>
      <c r="J18" s="199"/>
      <c r="K18" s="199"/>
      <c r="L18" s="199"/>
      <c r="M18" s="199"/>
      <c r="N18" s="112"/>
      <c r="O18" s="112"/>
      <c r="P18" s="112"/>
      <c r="Q18" s="112"/>
      <c r="R18" s="112"/>
      <c r="S18" s="112"/>
      <c r="T18" s="112"/>
      <c r="U18" s="112"/>
    </row>
    <row r="19" spans="1:21">
      <c r="A19" s="342"/>
      <c r="B19" s="35"/>
      <c r="C19" s="491" t="s">
        <v>523</v>
      </c>
      <c r="D19" s="200" t="s">
        <v>1060</v>
      </c>
      <c r="E19" s="200"/>
      <c r="F19" s="200"/>
      <c r="G19" s="200"/>
      <c r="H19" s="200"/>
      <c r="I19" s="200"/>
      <c r="J19" s="200"/>
      <c r="K19" s="200"/>
      <c r="L19" s="200"/>
      <c r="M19" s="200"/>
      <c r="N19" s="112"/>
      <c r="O19" s="112"/>
      <c r="P19" s="112"/>
      <c r="Q19" s="112"/>
      <c r="R19" s="112"/>
      <c r="S19" s="112"/>
      <c r="T19" s="112"/>
      <c r="U19" s="112"/>
    </row>
    <row r="20" spans="1:21">
      <c r="A20" s="342"/>
      <c r="B20" s="35"/>
      <c r="C20" s="491" t="s">
        <v>524</v>
      </c>
      <c r="D20" s="199" t="s">
        <v>1061</v>
      </c>
      <c r="E20" s="199"/>
      <c r="F20" s="199"/>
      <c r="G20" s="199"/>
      <c r="H20" s="199"/>
      <c r="I20" s="199"/>
      <c r="J20" s="199"/>
      <c r="K20" s="199"/>
      <c r="L20" s="199"/>
      <c r="M20" s="199"/>
      <c r="N20" s="112"/>
      <c r="O20" s="112"/>
      <c r="P20" s="112"/>
      <c r="Q20" s="112"/>
      <c r="R20" s="112"/>
      <c r="S20" s="112"/>
      <c r="T20" s="112"/>
      <c r="U20" s="112"/>
    </row>
    <row r="21" spans="1:21">
      <c r="A21" s="342"/>
      <c r="B21" s="35"/>
      <c r="C21" s="491" t="s">
        <v>525</v>
      </c>
      <c r="D21" s="199" t="s">
        <v>1098</v>
      </c>
      <c r="E21" s="199"/>
      <c r="F21" s="199"/>
      <c r="G21" s="199"/>
      <c r="H21" s="199"/>
      <c r="I21" s="199"/>
      <c r="J21" s="199"/>
      <c r="K21" s="199"/>
      <c r="L21" s="199"/>
      <c r="M21" s="199"/>
      <c r="N21" s="112"/>
      <c r="O21" s="112"/>
      <c r="P21" s="112"/>
      <c r="Q21" s="112"/>
      <c r="R21" s="112"/>
      <c r="S21" s="112"/>
      <c r="T21" s="112"/>
      <c r="U21" s="112"/>
    </row>
    <row r="22" spans="1:21">
      <c r="A22" s="342"/>
      <c r="B22" s="35"/>
      <c r="C22" s="491" t="s">
        <v>526</v>
      </c>
      <c r="D22" s="199" t="s">
        <v>1097</v>
      </c>
      <c r="E22" s="199"/>
      <c r="F22" s="199"/>
      <c r="G22" s="199"/>
      <c r="H22" s="199"/>
      <c r="I22" s="199"/>
      <c r="J22" s="199"/>
      <c r="K22" s="199"/>
      <c r="L22" s="199"/>
      <c r="M22" s="199"/>
      <c r="N22" s="112"/>
      <c r="O22" s="112"/>
      <c r="P22" s="112"/>
      <c r="Q22" s="112"/>
      <c r="R22" s="112"/>
      <c r="S22" s="112"/>
      <c r="T22" s="112"/>
      <c r="U22" s="112"/>
    </row>
    <row r="23" spans="1:21">
      <c r="A23" s="342"/>
      <c r="B23" s="35"/>
      <c r="C23" s="491" t="s">
        <v>527</v>
      </c>
      <c r="D23" s="200" t="s">
        <v>1062</v>
      </c>
      <c r="E23" s="200"/>
      <c r="F23" s="200"/>
      <c r="G23" s="200"/>
      <c r="H23" s="200"/>
      <c r="I23" s="200"/>
      <c r="J23" s="200"/>
      <c r="K23" s="200"/>
      <c r="L23" s="200"/>
      <c r="M23" s="200"/>
      <c r="N23" s="112"/>
      <c r="O23" s="112"/>
      <c r="P23" s="112"/>
      <c r="Q23" s="112"/>
      <c r="R23" s="112"/>
      <c r="S23" s="112"/>
      <c r="T23" s="112"/>
      <c r="U23" s="112"/>
    </row>
    <row r="24" spans="1:21">
      <c r="A24" s="342"/>
      <c r="B24" s="35"/>
      <c r="C24" s="491" t="s">
        <v>528</v>
      </c>
      <c r="D24" s="200" t="s">
        <v>1064</v>
      </c>
      <c r="E24" s="200"/>
      <c r="F24" s="200"/>
      <c r="G24" s="200"/>
      <c r="H24" s="200"/>
      <c r="I24" s="200"/>
      <c r="J24" s="200"/>
      <c r="K24" s="200"/>
      <c r="L24" s="200"/>
      <c r="M24" s="200"/>
      <c r="N24" s="112"/>
      <c r="O24" s="112"/>
      <c r="P24" s="112"/>
      <c r="Q24" s="112"/>
      <c r="R24" s="112"/>
      <c r="S24" s="112"/>
      <c r="T24" s="112"/>
      <c r="U24" s="112"/>
    </row>
    <row r="25" spans="1:21">
      <c r="A25" s="342"/>
      <c r="B25" s="35"/>
      <c r="C25" s="491" t="s">
        <v>529</v>
      </c>
      <c r="D25" s="203" t="s">
        <v>1065</v>
      </c>
      <c r="E25" s="203"/>
      <c r="F25" s="203"/>
      <c r="G25" s="203"/>
      <c r="H25" s="203"/>
      <c r="I25" s="203"/>
      <c r="J25" s="203"/>
      <c r="K25" s="203"/>
      <c r="L25" s="203"/>
      <c r="M25" s="203"/>
      <c r="N25" s="112"/>
      <c r="O25" s="112"/>
      <c r="P25" s="112"/>
      <c r="Q25" s="112"/>
      <c r="R25" s="112"/>
      <c r="S25" s="112"/>
      <c r="T25" s="112"/>
      <c r="U25" s="112"/>
    </row>
    <row r="26" spans="1:21" ht="15.75" customHeight="1">
      <c r="A26" s="342"/>
      <c r="B26" s="35"/>
      <c r="C26" s="491" t="s">
        <v>1066</v>
      </c>
      <c r="D26" s="200" t="s">
        <v>801</v>
      </c>
      <c r="E26" s="203"/>
      <c r="F26" s="203"/>
      <c r="G26" s="203"/>
      <c r="H26" s="203"/>
      <c r="I26" s="203"/>
      <c r="J26" s="203"/>
      <c r="K26" s="203"/>
      <c r="L26" s="203"/>
      <c r="M26" s="203"/>
      <c r="N26" s="112"/>
      <c r="O26" s="112"/>
      <c r="P26" s="112"/>
      <c r="Q26" s="112"/>
      <c r="R26" s="112"/>
      <c r="S26" s="112"/>
      <c r="T26" s="112"/>
      <c r="U26" s="112"/>
    </row>
    <row r="27" spans="1:21" ht="15.75" customHeight="1">
      <c r="A27" s="342"/>
      <c r="B27" s="35"/>
      <c r="C27" s="491" t="s">
        <v>1067</v>
      </c>
      <c r="D27" s="200" t="s">
        <v>1068</v>
      </c>
      <c r="E27" s="203"/>
      <c r="F27" s="203"/>
      <c r="G27" s="203"/>
      <c r="H27" s="203"/>
      <c r="I27" s="203"/>
      <c r="J27" s="203"/>
      <c r="K27" s="203"/>
      <c r="L27" s="203"/>
      <c r="M27" s="203"/>
      <c r="N27" s="112"/>
      <c r="O27" s="112"/>
      <c r="P27" s="112"/>
      <c r="Q27" s="112"/>
      <c r="R27" s="112"/>
      <c r="S27" s="112"/>
      <c r="T27" s="112"/>
      <c r="U27" s="112"/>
    </row>
    <row r="28" spans="1:21" ht="15.75" customHeight="1">
      <c r="A28" s="342"/>
      <c r="B28" s="35"/>
      <c r="C28" s="491" t="s">
        <v>927</v>
      </c>
      <c r="D28" s="200" t="s">
        <v>1069</v>
      </c>
      <c r="E28" s="203"/>
      <c r="F28" s="203"/>
      <c r="G28" s="203"/>
      <c r="H28" s="203"/>
      <c r="I28" s="203"/>
      <c r="J28" s="203"/>
      <c r="K28" s="203"/>
      <c r="L28" s="203"/>
      <c r="M28" s="203"/>
      <c r="N28" s="112"/>
      <c r="O28" s="112"/>
      <c r="P28" s="112"/>
      <c r="Q28" s="112"/>
      <c r="R28" s="112"/>
      <c r="S28" s="112"/>
      <c r="T28" s="112"/>
      <c r="U28" s="112"/>
    </row>
    <row r="29" spans="1:21">
      <c r="B29" s="35"/>
      <c r="C29" s="201" t="s">
        <v>539</v>
      </c>
      <c r="D29" s="200"/>
      <c r="E29" s="200"/>
      <c r="F29" s="200"/>
      <c r="G29" s="200"/>
      <c r="H29" s="200"/>
      <c r="I29" s="200"/>
      <c r="J29" s="200"/>
      <c r="K29" s="200"/>
      <c r="L29" s="200"/>
      <c r="M29" s="200"/>
      <c r="N29" s="112"/>
      <c r="O29" s="112"/>
      <c r="P29" s="112"/>
      <c r="Q29" s="112"/>
      <c r="R29" s="112"/>
      <c r="S29" s="112"/>
      <c r="T29" s="112"/>
      <c r="U29" s="112"/>
    </row>
    <row r="30" spans="1:21">
      <c r="C30" s="112"/>
      <c r="D30" s="112"/>
      <c r="E30" s="112"/>
      <c r="F30" s="112"/>
      <c r="G30" s="112"/>
      <c r="H30" s="112"/>
      <c r="I30" s="112"/>
      <c r="J30" s="112"/>
      <c r="K30" s="112"/>
      <c r="L30" s="112"/>
      <c r="M30" s="112"/>
      <c r="N30" s="112"/>
      <c r="O30" s="112"/>
      <c r="P30" s="112"/>
      <c r="Q30" s="112"/>
      <c r="R30" s="112"/>
      <c r="S30" s="112"/>
      <c r="T30" s="112"/>
      <c r="U30" s="112"/>
    </row>
    <row r="31" spans="1:21">
      <c r="C31" s="112"/>
      <c r="D31" s="112"/>
      <c r="E31" s="112"/>
      <c r="F31" s="112"/>
      <c r="G31" s="112"/>
      <c r="H31" s="112"/>
      <c r="I31" s="112"/>
      <c r="J31" s="112"/>
      <c r="K31" s="112"/>
      <c r="L31" s="112"/>
      <c r="M31" s="112"/>
      <c r="N31" s="112"/>
      <c r="O31" s="112"/>
      <c r="P31" s="112"/>
      <c r="Q31" s="112"/>
      <c r="R31" s="112"/>
      <c r="S31" s="112"/>
      <c r="T31" s="112"/>
      <c r="U31" s="112"/>
    </row>
    <row r="32" spans="1:21">
      <c r="C32" s="6"/>
    </row>
    <row r="33" spans="3:4">
      <c r="C33" s="7"/>
    </row>
    <row r="35" spans="3:4">
      <c r="C35" s="6"/>
    </row>
    <row r="36" spans="3:4">
      <c r="C36" s="7"/>
      <c r="D36" s="197"/>
    </row>
  </sheetData>
  <phoneticPr fontId="72" type="noConversion"/>
  <hyperlinks>
    <hyperlink ref="C9" location="'Table S1'!A1" display="Table S1" xr:uid="{00000000-0004-0000-0000-000000000000}"/>
    <hyperlink ref="C10" location="'Table S2'!A1" display="Table S2" xr:uid="{00000000-0004-0000-0000-000001000000}"/>
    <hyperlink ref="C11" location="'Table S3'!A1" display="Table S3" xr:uid="{00000000-0004-0000-0000-000002000000}"/>
    <hyperlink ref="C12" location="'Table S4'!A1" display="Table S4" xr:uid="{00000000-0004-0000-0000-000003000000}"/>
    <hyperlink ref="C13" location="'Table S5'!A1" display="Table S5" xr:uid="{00000000-0004-0000-0000-000004000000}"/>
    <hyperlink ref="C14" location="'Table S6'!A1" display="Table S6" xr:uid="{00000000-0004-0000-0000-000005000000}"/>
    <hyperlink ref="C15" location="'Table S7'!A1" display="Table S7" xr:uid="{00000000-0004-0000-0000-000006000000}"/>
    <hyperlink ref="C16" location="'Table S8'!A1" display="Table S8" xr:uid="{00000000-0004-0000-0000-000007000000}"/>
    <hyperlink ref="C17" location="'Table S9.1 and S9.2'!A1" display="Table S9.1" xr:uid="{00000000-0004-0000-0000-000008000000}"/>
    <hyperlink ref="C19" location="'Table S10'!A1" display="Table S10" xr:uid="{00000000-0004-0000-0000-000009000000}"/>
    <hyperlink ref="C20" location="'Table S11'!A1" display="Table S11" xr:uid="{00000000-0004-0000-0000-00000A000000}"/>
    <hyperlink ref="C21" location="'Table S12'!A1" display="Table S12" xr:uid="{00000000-0004-0000-0000-00000B000000}"/>
    <hyperlink ref="C22" location="'Table S13'!A1" display="Table S13" xr:uid="{00000000-0004-0000-0000-00000C000000}"/>
    <hyperlink ref="C23" location="'Table S14'!A1" display="Table S14" xr:uid="{00000000-0004-0000-0000-00000D000000}"/>
    <hyperlink ref="C24" location="'Table S15'!A1" display="Table S15" xr:uid="{00000000-0004-0000-0000-00000E000000}"/>
    <hyperlink ref="C25" location="'Table S16'!A1" display="Table S16" xr:uid="{00000000-0004-0000-0000-00000F000000}"/>
    <hyperlink ref="C26" location="'Table S17.1 and S17.2'!A1" display="Table S17.1" xr:uid="{00000000-0004-0000-0000-000010000000}"/>
    <hyperlink ref="C29" location="'Data sources'!A1" display="Data sources " xr:uid="{00000000-0004-0000-0000-000012000000}"/>
    <hyperlink ref="C28" location="'Table S18'!A1" display="Table S18" xr:uid="{78BE599C-B227-4ABD-8708-526CB63849C6}"/>
    <hyperlink ref="C18" location="'Table S9.1 and S9.2'!A1" display="Table S9.2" xr:uid="{1582729B-3BA1-4260-B9B8-62C17B7309C9}"/>
    <hyperlink ref="C27" location="'Table S17.1 and S17.2'!A1" display="Table S17.2" xr:uid="{6A6A2CBC-705F-4309-A851-FD61F8C404DC}"/>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U46"/>
  <sheetViews>
    <sheetView showGridLines="0" zoomScaleNormal="100" workbookViewId="0">
      <selection activeCell="T1" sqref="T1:U1"/>
    </sheetView>
  </sheetViews>
  <sheetFormatPr defaultRowHeight="15"/>
  <cols>
    <col min="2" max="2" width="23.5703125" customWidth="1"/>
    <col min="3" max="3" width="4.7109375" customWidth="1"/>
    <col min="4" max="4" width="10.42578125" customWidth="1"/>
    <col min="5" max="5" width="2" customWidth="1"/>
    <col min="6" max="6" width="5.28515625" customWidth="1"/>
    <col min="7" max="7" width="7.85546875" bestFit="1" customWidth="1"/>
    <col min="8" max="8" width="2.7109375" customWidth="1"/>
    <col min="9" max="9" width="4.85546875" customWidth="1"/>
    <col min="10" max="10" width="7.85546875" bestFit="1" customWidth="1"/>
    <col min="11" max="11" width="2.7109375" customWidth="1"/>
    <col min="12" max="12" width="5.7109375" customWidth="1"/>
    <col min="13" max="13" width="7.85546875" bestFit="1" customWidth="1"/>
    <col min="14" max="14" width="2.7109375" customWidth="1"/>
    <col min="15" max="15" width="5.42578125" customWidth="1"/>
    <col min="16" max="16" width="7.85546875" bestFit="1" customWidth="1"/>
    <col min="17" max="17" width="2.7109375" customWidth="1"/>
    <col min="18" max="18" width="5.5703125" customWidth="1"/>
    <col min="19" max="19" width="7.85546875" bestFit="1" customWidth="1"/>
    <col min="21" max="21" width="15.7109375" customWidth="1"/>
    <col min="22" max="22" width="11.7109375" customWidth="1"/>
  </cols>
  <sheetData>
    <row r="1" spans="2:21" ht="16.5" thickTop="1" thickBot="1">
      <c r="R1" s="494"/>
      <c r="S1" s="495"/>
      <c r="T1" s="498" t="s">
        <v>3</v>
      </c>
      <c r="U1" s="499"/>
    </row>
    <row r="2" spans="2:21" ht="15.75" thickTop="1">
      <c r="L2" s="8"/>
      <c r="M2" s="8"/>
      <c r="N2" s="8"/>
    </row>
    <row r="3" spans="2:21">
      <c r="L3" s="8"/>
      <c r="M3" s="8"/>
      <c r="N3" s="8"/>
    </row>
    <row r="5" spans="2:21" ht="40.5" customHeight="1">
      <c r="B5" s="496" t="s">
        <v>928</v>
      </c>
      <c r="C5" s="496"/>
      <c r="D5" s="496"/>
      <c r="E5" s="496"/>
      <c r="F5" s="496"/>
      <c r="G5" s="496"/>
      <c r="H5" s="496"/>
      <c r="I5" s="496"/>
      <c r="J5" s="496"/>
      <c r="K5" s="496"/>
      <c r="L5" s="496"/>
      <c r="M5" s="496"/>
      <c r="N5" s="496"/>
      <c r="O5" s="496"/>
      <c r="P5" s="496"/>
      <c r="Q5" s="496"/>
      <c r="R5" s="496"/>
      <c r="S5" s="496"/>
    </row>
    <row r="6" spans="2:21" ht="15.75">
      <c r="B6" s="395"/>
      <c r="C6" s="395"/>
      <c r="D6" s="395"/>
      <c r="E6" s="395"/>
      <c r="F6" s="395"/>
      <c r="G6" s="395"/>
      <c r="H6" s="395"/>
      <c r="I6" s="395"/>
      <c r="J6" s="395"/>
      <c r="K6" s="395"/>
      <c r="L6" s="395"/>
      <c r="M6" s="395"/>
      <c r="N6" s="395"/>
      <c r="O6" s="395"/>
      <c r="P6" s="395"/>
      <c r="Q6" s="395"/>
      <c r="R6" s="395"/>
      <c r="S6" s="395"/>
    </row>
    <row r="7" spans="2:21">
      <c r="C7" s="497" t="s">
        <v>543</v>
      </c>
      <c r="D7" s="497"/>
      <c r="E7" s="497"/>
      <c r="F7" s="497"/>
      <c r="G7" s="497"/>
      <c r="H7" s="20"/>
      <c r="I7" s="497" t="s">
        <v>544</v>
      </c>
      <c r="J7" s="497"/>
      <c r="K7" s="497"/>
      <c r="L7" s="497"/>
      <c r="M7" s="497"/>
      <c r="N7" s="20"/>
      <c r="O7" s="497" t="s">
        <v>545</v>
      </c>
      <c r="P7" s="497"/>
      <c r="Q7" s="497"/>
      <c r="R7" s="497"/>
      <c r="S7" s="497"/>
    </row>
    <row r="8" spans="2:21">
      <c r="B8" s="54" t="s">
        <v>206</v>
      </c>
      <c r="C8" s="502" t="s">
        <v>11</v>
      </c>
      <c r="D8" s="502"/>
      <c r="E8" s="73"/>
      <c r="F8" s="502" t="s">
        <v>12</v>
      </c>
      <c r="G8" s="502"/>
      <c r="H8" s="73"/>
      <c r="I8" s="502" t="s">
        <v>11</v>
      </c>
      <c r="J8" s="502"/>
      <c r="K8" s="73"/>
      <c r="L8" s="502" t="s">
        <v>12</v>
      </c>
      <c r="M8" s="502"/>
      <c r="N8" s="73"/>
      <c r="O8" s="502" t="s">
        <v>11</v>
      </c>
      <c r="P8" s="502"/>
      <c r="Q8" s="73"/>
      <c r="R8" s="502" t="s">
        <v>12</v>
      </c>
      <c r="S8" s="502"/>
    </row>
    <row r="9" spans="2:21">
      <c r="B9" s="139" t="s">
        <v>15</v>
      </c>
      <c r="C9" s="83" t="s">
        <v>38</v>
      </c>
      <c r="D9" s="81" t="s">
        <v>91</v>
      </c>
      <c r="E9" s="81"/>
      <c r="F9" s="81" t="s">
        <v>38</v>
      </c>
      <c r="G9" s="83" t="s">
        <v>51</v>
      </c>
      <c r="H9" s="83"/>
      <c r="I9" s="83" t="s">
        <v>38</v>
      </c>
      <c r="J9" s="81" t="s">
        <v>91</v>
      </c>
      <c r="K9" s="81"/>
      <c r="L9" s="81" t="s">
        <v>38</v>
      </c>
      <c r="M9" s="83" t="s">
        <v>51</v>
      </c>
      <c r="N9" s="83"/>
      <c r="O9" s="83" t="s">
        <v>38</v>
      </c>
      <c r="P9" s="81" t="s">
        <v>91</v>
      </c>
      <c r="Q9" s="81"/>
      <c r="R9" s="81" t="s">
        <v>38</v>
      </c>
      <c r="S9" s="83" t="s">
        <v>51</v>
      </c>
    </row>
    <row r="10" spans="2:21">
      <c r="B10" s="131" t="s">
        <v>6</v>
      </c>
      <c r="C10" s="217">
        <v>71.250392864999995</v>
      </c>
      <c r="D10" s="359" t="s">
        <v>802</v>
      </c>
      <c r="E10" s="125"/>
      <c r="F10" s="217">
        <v>70.284715496000004</v>
      </c>
      <c r="G10" s="125" t="s">
        <v>810</v>
      </c>
      <c r="H10" s="125"/>
      <c r="I10" s="125">
        <v>44.099723388000001</v>
      </c>
      <c r="J10" s="125" t="s">
        <v>818</v>
      </c>
      <c r="K10" s="125"/>
      <c r="L10" s="125">
        <v>33.100246480000003</v>
      </c>
      <c r="M10" s="125" t="s">
        <v>826</v>
      </c>
      <c r="N10" s="125"/>
      <c r="O10" s="126">
        <v>39.013788189000003</v>
      </c>
      <c r="P10" s="126" t="s">
        <v>834</v>
      </c>
      <c r="Q10" s="126"/>
      <c r="R10" s="126">
        <v>29.574117039000001</v>
      </c>
      <c r="S10" s="126" t="s">
        <v>842</v>
      </c>
    </row>
    <row r="11" spans="2:21">
      <c r="B11" s="131" t="s">
        <v>7</v>
      </c>
      <c r="C11" s="217">
        <v>67.918983033000004</v>
      </c>
      <c r="D11" s="125" t="s">
        <v>803</v>
      </c>
      <c r="E11" s="125"/>
      <c r="F11" s="217">
        <v>62.532662600000002</v>
      </c>
      <c r="G11" s="125" t="s">
        <v>811</v>
      </c>
      <c r="H11" s="125"/>
      <c r="I11" s="125">
        <v>31.444309308000001</v>
      </c>
      <c r="J11" s="125" t="s">
        <v>819</v>
      </c>
      <c r="K11" s="125"/>
      <c r="L11" s="125">
        <v>30.676992823999999</v>
      </c>
      <c r="M11" s="125" t="s">
        <v>827</v>
      </c>
      <c r="N11" s="125"/>
      <c r="O11" s="126">
        <v>28.905883519</v>
      </c>
      <c r="P11" s="126" t="s">
        <v>835</v>
      </c>
      <c r="Q11" s="126"/>
      <c r="R11" s="126">
        <v>25.691356056</v>
      </c>
      <c r="S11" s="126" t="s">
        <v>843</v>
      </c>
    </row>
    <row r="12" spans="2:21">
      <c r="B12" s="131" t="s">
        <v>8</v>
      </c>
      <c r="C12" s="217">
        <v>69.209396986000002</v>
      </c>
      <c r="D12" s="125" t="s">
        <v>804</v>
      </c>
      <c r="E12" s="125"/>
      <c r="F12" s="217">
        <v>59.700829333999998</v>
      </c>
      <c r="G12" s="125" t="s">
        <v>812</v>
      </c>
      <c r="H12" s="125"/>
      <c r="I12" s="125">
        <v>31.183617689999998</v>
      </c>
      <c r="J12" s="125" t="s">
        <v>820</v>
      </c>
      <c r="K12" s="125"/>
      <c r="L12" s="125">
        <v>23.469340316</v>
      </c>
      <c r="M12" s="125" t="s">
        <v>828</v>
      </c>
      <c r="N12" s="125"/>
      <c r="O12" s="126">
        <v>28.019936138999999</v>
      </c>
      <c r="P12" s="126" t="s">
        <v>836</v>
      </c>
      <c r="Q12" s="126"/>
      <c r="R12" s="126">
        <v>19.991425491000001</v>
      </c>
      <c r="S12" s="126" t="s">
        <v>844</v>
      </c>
    </row>
    <row r="13" spans="2:21">
      <c r="B13" s="131" t="s">
        <v>9</v>
      </c>
      <c r="C13" s="217">
        <v>68.089237202999996</v>
      </c>
      <c r="D13" s="125" t="s">
        <v>805</v>
      </c>
      <c r="E13" s="125"/>
      <c r="F13" s="217">
        <v>56.552528899000002</v>
      </c>
      <c r="G13" s="125" t="s">
        <v>813</v>
      </c>
      <c r="H13" s="125"/>
      <c r="I13" s="125">
        <v>27.590914145999999</v>
      </c>
      <c r="J13" s="125" t="s">
        <v>821</v>
      </c>
      <c r="K13" s="125"/>
      <c r="L13" s="125">
        <v>21.074850905000002</v>
      </c>
      <c r="M13" s="125" t="s">
        <v>829</v>
      </c>
      <c r="N13" s="125"/>
      <c r="O13" s="126">
        <v>23.196867268999998</v>
      </c>
      <c r="P13" s="126" t="s">
        <v>837</v>
      </c>
      <c r="Q13" s="126"/>
      <c r="R13" s="126">
        <v>17.914483842999999</v>
      </c>
      <c r="S13" s="126" t="s">
        <v>845</v>
      </c>
    </row>
    <row r="14" spans="2:21">
      <c r="B14" s="131" t="s">
        <v>10</v>
      </c>
      <c r="C14" s="217">
        <v>66.734768044000006</v>
      </c>
      <c r="D14" s="125" t="s">
        <v>806</v>
      </c>
      <c r="E14" s="125"/>
      <c r="F14" s="217">
        <v>61.505284629999998</v>
      </c>
      <c r="G14" s="125" t="s">
        <v>814</v>
      </c>
      <c r="H14" s="125"/>
      <c r="I14" s="125">
        <v>20.524582934000001</v>
      </c>
      <c r="J14" s="125" t="s">
        <v>822</v>
      </c>
      <c r="K14" s="125"/>
      <c r="L14" s="125">
        <v>23.521150108000001</v>
      </c>
      <c r="M14" s="125" t="s">
        <v>830</v>
      </c>
      <c r="N14" s="125"/>
      <c r="O14" s="126">
        <v>18.347190217000001</v>
      </c>
      <c r="P14" s="126" t="s">
        <v>838</v>
      </c>
      <c r="Q14" s="126"/>
      <c r="R14" s="126">
        <v>19.741404554999999</v>
      </c>
      <c r="S14" s="126" t="s">
        <v>846</v>
      </c>
    </row>
    <row r="15" spans="2:21">
      <c r="B15" s="131" t="s">
        <v>130</v>
      </c>
      <c r="C15" s="217">
        <v>68.499119136000004</v>
      </c>
      <c r="D15" s="125" t="s">
        <v>807</v>
      </c>
      <c r="E15" s="125"/>
      <c r="F15" s="217">
        <v>61.505511554999998</v>
      </c>
      <c r="G15" s="125" t="s">
        <v>815</v>
      </c>
      <c r="H15" s="125"/>
      <c r="I15" s="125">
        <v>30.4</v>
      </c>
      <c r="J15" s="125" t="s">
        <v>823</v>
      </c>
      <c r="K15" s="125"/>
      <c r="L15" s="125">
        <v>26</v>
      </c>
      <c r="M15" s="125" t="s">
        <v>831</v>
      </c>
      <c r="N15" s="125"/>
      <c r="O15" s="126">
        <v>27.019738091000001</v>
      </c>
      <c r="P15" s="126" t="s">
        <v>839</v>
      </c>
      <c r="Q15" s="126"/>
      <c r="R15" s="126">
        <v>22.170612732999999</v>
      </c>
      <c r="S15" s="126" t="s">
        <v>847</v>
      </c>
    </row>
    <row r="16" spans="2:21">
      <c r="B16" s="131" t="s">
        <v>50</v>
      </c>
      <c r="C16" s="217">
        <v>52.677634930000004</v>
      </c>
      <c r="D16" s="358" t="s">
        <v>808</v>
      </c>
      <c r="E16" s="125"/>
      <c r="F16" s="217">
        <v>47.433630856000001</v>
      </c>
      <c r="G16" s="125" t="s">
        <v>816</v>
      </c>
      <c r="H16" s="125"/>
      <c r="I16" s="125">
        <v>19.7</v>
      </c>
      <c r="J16" s="125" t="s">
        <v>824</v>
      </c>
      <c r="K16" s="125"/>
      <c r="L16" s="125">
        <v>19.2</v>
      </c>
      <c r="M16" s="125" t="s">
        <v>832</v>
      </c>
      <c r="N16" s="125"/>
      <c r="O16" s="126">
        <v>12.264197994</v>
      </c>
      <c r="P16" s="126" t="s">
        <v>840</v>
      </c>
      <c r="Q16" s="126"/>
      <c r="R16" s="126">
        <v>14.618811968999999</v>
      </c>
      <c r="S16" s="126" t="s">
        <v>848</v>
      </c>
    </row>
    <row r="17" spans="2:19">
      <c r="B17" s="131" t="s">
        <v>55</v>
      </c>
      <c r="C17" s="217">
        <v>65.3</v>
      </c>
      <c r="D17" s="125" t="s">
        <v>809</v>
      </c>
      <c r="E17" s="125"/>
      <c r="F17" s="217">
        <v>58.5</v>
      </c>
      <c r="G17" s="125" t="s">
        <v>817</v>
      </c>
      <c r="H17" s="125"/>
      <c r="I17" s="125">
        <v>28.2</v>
      </c>
      <c r="J17" s="125" t="s">
        <v>825</v>
      </c>
      <c r="K17" s="125"/>
      <c r="L17" s="125">
        <v>24.6</v>
      </c>
      <c r="M17" s="125" t="s">
        <v>833</v>
      </c>
      <c r="N17" s="125"/>
      <c r="O17" s="126">
        <v>24.1</v>
      </c>
      <c r="P17" s="126" t="s">
        <v>841</v>
      </c>
      <c r="Q17" s="126"/>
      <c r="R17" s="126">
        <v>20.6</v>
      </c>
      <c r="S17" s="126" t="s">
        <v>849</v>
      </c>
    </row>
    <row r="18" spans="2:19">
      <c r="B18" s="131"/>
      <c r="C18" s="217"/>
      <c r="D18" s="125"/>
      <c r="E18" s="125"/>
      <c r="F18" s="217"/>
      <c r="G18" s="125"/>
      <c r="H18" s="125"/>
      <c r="I18" s="125"/>
      <c r="J18" s="125"/>
      <c r="K18" s="125"/>
      <c r="L18" s="125"/>
      <c r="M18" s="125"/>
      <c r="N18" s="125"/>
      <c r="O18" s="126"/>
      <c r="P18" s="126"/>
      <c r="Q18" s="126"/>
      <c r="R18" s="126"/>
      <c r="S18" s="126"/>
    </row>
    <row r="19" spans="2:19">
      <c r="B19" s="130" t="s">
        <v>948</v>
      </c>
      <c r="C19" s="218"/>
      <c r="D19" s="218"/>
      <c r="E19" s="218"/>
      <c r="F19" s="218"/>
      <c r="G19" s="218"/>
      <c r="H19" s="218"/>
      <c r="I19" s="218"/>
      <c r="J19" s="218"/>
      <c r="K19" s="218"/>
      <c r="L19" s="218"/>
      <c r="M19" s="218"/>
      <c r="N19" s="218"/>
      <c r="O19" s="218"/>
      <c r="P19" s="218"/>
      <c r="Q19" s="218"/>
      <c r="R19" s="218"/>
      <c r="S19" s="218"/>
    </row>
    <row r="20" spans="2:19">
      <c r="B20" s="131" t="s">
        <v>52</v>
      </c>
      <c r="C20" s="141">
        <v>50.6</v>
      </c>
      <c r="D20" s="125" t="s">
        <v>929</v>
      </c>
      <c r="E20" s="125"/>
      <c r="F20" s="125">
        <v>41.7</v>
      </c>
      <c r="G20" s="125" t="s">
        <v>930</v>
      </c>
      <c r="H20" s="125"/>
      <c r="I20" s="141">
        <v>26.4</v>
      </c>
      <c r="J20" s="125" t="s">
        <v>931</v>
      </c>
      <c r="K20" s="125"/>
      <c r="L20" s="125">
        <v>22.6</v>
      </c>
      <c r="M20" s="125" t="s">
        <v>932</v>
      </c>
      <c r="N20" s="125"/>
      <c r="O20" s="126">
        <v>17.899999999999999</v>
      </c>
      <c r="P20" s="126" t="s">
        <v>933</v>
      </c>
      <c r="Q20" s="126"/>
      <c r="R20" s="126">
        <v>14.2</v>
      </c>
      <c r="S20" s="126" t="s">
        <v>934</v>
      </c>
    </row>
    <row r="21" spans="2:19">
      <c r="B21" s="131" t="s">
        <v>53</v>
      </c>
      <c r="C21" s="125">
        <v>50.3</v>
      </c>
      <c r="D21" s="125" t="s">
        <v>935</v>
      </c>
      <c r="E21" s="125"/>
      <c r="F21" s="125">
        <v>43</v>
      </c>
      <c r="G21" s="125" t="s">
        <v>936</v>
      </c>
      <c r="H21" s="125"/>
      <c r="I21" s="125">
        <v>19.5</v>
      </c>
      <c r="J21" s="125" t="s">
        <v>937</v>
      </c>
      <c r="K21" s="125"/>
      <c r="L21" s="125">
        <v>22.2</v>
      </c>
      <c r="M21" s="125" t="s">
        <v>938</v>
      </c>
      <c r="N21" s="125"/>
      <c r="O21" s="126">
        <v>13.1</v>
      </c>
      <c r="P21" s="126" t="s">
        <v>939</v>
      </c>
      <c r="Q21" s="126"/>
      <c r="R21" s="126">
        <v>15.5</v>
      </c>
      <c r="S21" s="126" t="s">
        <v>940</v>
      </c>
    </row>
    <row r="22" spans="2:19">
      <c r="B22" s="131" t="s">
        <v>54</v>
      </c>
      <c r="C22" s="125">
        <v>50.3</v>
      </c>
      <c r="D22" s="125" t="s">
        <v>941</v>
      </c>
      <c r="E22" s="125"/>
      <c r="F22" s="125">
        <v>39.700000000000003</v>
      </c>
      <c r="G22" s="125" t="s">
        <v>942</v>
      </c>
      <c r="H22" s="125"/>
      <c r="I22" s="125">
        <v>20.7</v>
      </c>
      <c r="J22" s="125" t="s">
        <v>943</v>
      </c>
      <c r="K22" s="125"/>
      <c r="L22" s="125">
        <v>16.8</v>
      </c>
      <c r="M22" s="125" t="s">
        <v>944</v>
      </c>
      <c r="N22" s="125"/>
      <c r="O22" s="126">
        <v>14.6</v>
      </c>
      <c r="P22" s="126" t="s">
        <v>945</v>
      </c>
      <c r="Q22" s="126"/>
      <c r="R22" s="126">
        <v>12</v>
      </c>
      <c r="S22" s="126" t="s">
        <v>946</v>
      </c>
    </row>
    <row r="23" spans="2:19">
      <c r="C23" s="125"/>
      <c r="D23" s="125"/>
      <c r="E23" s="125"/>
      <c r="F23" s="125"/>
      <c r="G23" s="125"/>
      <c r="H23" s="125"/>
      <c r="I23" s="125"/>
      <c r="J23" s="125"/>
      <c r="K23" s="125"/>
      <c r="L23" s="125"/>
      <c r="M23" s="125"/>
      <c r="N23" s="125"/>
      <c r="O23" s="218"/>
      <c r="P23" s="218"/>
      <c r="Q23" s="218"/>
      <c r="R23" s="218"/>
      <c r="S23" s="218"/>
    </row>
    <row r="24" spans="2:19">
      <c r="B24" s="130" t="s">
        <v>947</v>
      </c>
      <c r="C24" s="141"/>
      <c r="D24" s="125"/>
      <c r="E24" s="125"/>
      <c r="F24" s="125"/>
      <c r="G24" s="125"/>
      <c r="H24" s="125"/>
      <c r="I24" s="141"/>
      <c r="J24" s="125"/>
      <c r="K24" s="125"/>
      <c r="L24" s="125"/>
      <c r="M24" s="125"/>
      <c r="N24" s="125"/>
      <c r="O24" s="218"/>
      <c r="P24" s="218"/>
      <c r="Q24" s="218"/>
      <c r="R24" s="218"/>
      <c r="S24" s="218"/>
    </row>
    <row r="25" spans="2:19">
      <c r="B25" s="131" t="s">
        <v>463</v>
      </c>
      <c r="C25" s="125">
        <v>41.7</v>
      </c>
      <c r="D25" s="125" t="s">
        <v>444</v>
      </c>
      <c r="E25" s="125"/>
      <c r="F25" s="125">
        <v>33.700000000000003</v>
      </c>
      <c r="G25" s="125" t="s">
        <v>448</v>
      </c>
      <c r="H25" s="125"/>
      <c r="I25" s="125">
        <v>20.9</v>
      </c>
      <c r="J25" s="125" t="s">
        <v>131</v>
      </c>
      <c r="K25" s="125"/>
      <c r="L25" s="125">
        <v>16.5</v>
      </c>
      <c r="M25" s="125" t="s">
        <v>132</v>
      </c>
      <c r="N25" s="125"/>
      <c r="O25" s="126">
        <v>12.2</v>
      </c>
      <c r="P25" s="126" t="s">
        <v>452</v>
      </c>
      <c r="Q25" s="126"/>
      <c r="R25" s="126">
        <v>10.1</v>
      </c>
      <c r="S25" s="126" t="s">
        <v>436</v>
      </c>
    </row>
    <row r="26" spans="2:19">
      <c r="B26" s="131">
        <v>2</v>
      </c>
      <c r="C26" s="125">
        <v>50.1</v>
      </c>
      <c r="D26" s="125" t="s">
        <v>445</v>
      </c>
      <c r="E26" s="125"/>
      <c r="F26" s="125">
        <v>38.1</v>
      </c>
      <c r="G26" s="125" t="s">
        <v>449</v>
      </c>
      <c r="H26" s="125"/>
      <c r="I26" s="125">
        <v>22.9</v>
      </c>
      <c r="J26" s="125" t="s">
        <v>133</v>
      </c>
      <c r="K26" s="125"/>
      <c r="L26" s="125">
        <v>19.8</v>
      </c>
      <c r="M26" s="125" t="s">
        <v>134</v>
      </c>
      <c r="N26" s="125"/>
      <c r="O26" s="126">
        <v>15.5</v>
      </c>
      <c r="P26" s="126" t="s">
        <v>453</v>
      </c>
      <c r="Q26" s="126"/>
      <c r="R26" s="126">
        <v>12.7</v>
      </c>
      <c r="S26" s="126" t="s">
        <v>457</v>
      </c>
    </row>
    <row r="27" spans="2:19">
      <c r="B27" s="131">
        <v>3</v>
      </c>
      <c r="C27" s="125">
        <v>52.4</v>
      </c>
      <c r="D27" s="125" t="s">
        <v>446</v>
      </c>
      <c r="E27" s="125"/>
      <c r="F27" s="125">
        <v>51.9</v>
      </c>
      <c r="G27" s="125" t="s">
        <v>450</v>
      </c>
      <c r="H27" s="125"/>
      <c r="I27" s="125">
        <v>22.9</v>
      </c>
      <c r="J27" s="125" t="s">
        <v>135</v>
      </c>
      <c r="K27" s="125"/>
      <c r="L27" s="125">
        <v>19.8</v>
      </c>
      <c r="M27" s="125" t="s">
        <v>136</v>
      </c>
      <c r="N27" s="125"/>
      <c r="O27" s="126">
        <v>16.100000000000001</v>
      </c>
      <c r="P27" s="126" t="s">
        <v>454</v>
      </c>
      <c r="Q27" s="126"/>
      <c r="R27" s="126">
        <v>12.5</v>
      </c>
      <c r="S27" s="126" t="s">
        <v>458</v>
      </c>
    </row>
    <row r="28" spans="2:19">
      <c r="B28" s="131">
        <v>4</v>
      </c>
      <c r="C28" s="125">
        <v>50.9</v>
      </c>
      <c r="D28" s="125" t="s">
        <v>443</v>
      </c>
      <c r="E28" s="125"/>
      <c r="F28" s="125">
        <v>45.2</v>
      </c>
      <c r="G28" s="125" t="s">
        <v>451</v>
      </c>
      <c r="H28" s="125"/>
      <c r="I28" s="125">
        <v>25.5</v>
      </c>
      <c r="J28" s="125" t="s">
        <v>137</v>
      </c>
      <c r="K28" s="125"/>
      <c r="L28" s="125">
        <v>24.6</v>
      </c>
      <c r="M28" s="125" t="s">
        <v>138</v>
      </c>
      <c r="N28" s="125"/>
      <c r="O28" s="126">
        <v>17</v>
      </c>
      <c r="P28" s="126" t="s">
        <v>455</v>
      </c>
      <c r="Q28" s="126"/>
      <c r="R28" s="126">
        <v>15.1</v>
      </c>
      <c r="S28" s="126" t="s">
        <v>459</v>
      </c>
    </row>
    <row r="29" spans="2:19">
      <c r="B29" s="131" t="s">
        <v>464</v>
      </c>
      <c r="C29" s="127">
        <v>55.7</v>
      </c>
      <c r="D29" s="127" t="s">
        <v>447</v>
      </c>
      <c r="E29" s="127"/>
      <c r="F29" s="127">
        <v>49</v>
      </c>
      <c r="G29" s="127" t="s">
        <v>139</v>
      </c>
      <c r="H29" s="127"/>
      <c r="I29" s="127">
        <v>31.1</v>
      </c>
      <c r="J29" s="127" t="s">
        <v>140</v>
      </c>
      <c r="K29" s="127"/>
      <c r="L29" s="127">
        <v>28.9</v>
      </c>
      <c r="M29" s="127" t="s">
        <v>141</v>
      </c>
      <c r="N29" s="127"/>
      <c r="O29" s="128">
        <v>22.3</v>
      </c>
      <c r="P29" s="128" t="s">
        <v>456</v>
      </c>
      <c r="Q29" s="128"/>
      <c r="R29" s="128">
        <v>20.6</v>
      </c>
      <c r="S29" s="128" t="s">
        <v>460</v>
      </c>
    </row>
    <row r="30" spans="2:19" ht="26.25" customHeight="1">
      <c r="B30" s="501" t="s">
        <v>558</v>
      </c>
      <c r="C30" s="501"/>
      <c r="D30" s="501"/>
      <c r="E30" s="501"/>
      <c r="F30" s="501"/>
      <c r="G30" s="501"/>
      <c r="H30" s="501"/>
      <c r="I30" s="501"/>
      <c r="J30" s="501"/>
      <c r="K30" s="501"/>
      <c r="L30" s="501"/>
      <c r="M30" s="501"/>
      <c r="N30" s="501"/>
      <c r="O30" s="501"/>
      <c r="P30" s="501"/>
      <c r="Q30" s="501"/>
      <c r="R30" s="501"/>
      <c r="S30" s="501"/>
    </row>
    <row r="31" spans="2:19" ht="25.5" customHeight="1">
      <c r="B31" s="500" t="s">
        <v>191</v>
      </c>
      <c r="C31" s="500"/>
      <c r="D31" s="500"/>
      <c r="E31" s="500"/>
      <c r="F31" s="500"/>
      <c r="G31" s="500"/>
      <c r="H31" s="500"/>
      <c r="I31" s="500"/>
      <c r="J31" s="500"/>
      <c r="K31" s="500"/>
      <c r="L31" s="500"/>
      <c r="M31" s="500"/>
      <c r="N31" s="500"/>
      <c r="O31" s="500"/>
      <c r="P31" s="500"/>
      <c r="Q31" s="500"/>
      <c r="R31" s="500"/>
      <c r="S31" s="500"/>
    </row>
    <row r="32" spans="2:19" ht="15" customHeight="1">
      <c r="B32" s="99" t="s">
        <v>312</v>
      </c>
      <c r="C32" s="99"/>
      <c r="D32" s="99"/>
      <c r="E32" s="99"/>
      <c r="F32" s="99"/>
      <c r="G32" s="99"/>
      <c r="H32" s="99"/>
    </row>
    <row r="33" spans="2:19" ht="15" customHeight="1">
      <c r="B33" s="99" t="s">
        <v>193</v>
      </c>
      <c r="C33" s="99"/>
      <c r="D33" s="99"/>
      <c r="E33" s="99"/>
      <c r="F33" s="99"/>
      <c r="G33" s="99"/>
      <c r="H33" s="99"/>
    </row>
    <row r="34" spans="2:19" ht="15" customHeight="1">
      <c r="B34" s="99" t="s">
        <v>970</v>
      </c>
      <c r="C34" s="99"/>
      <c r="D34" s="99"/>
      <c r="E34" s="99"/>
      <c r="F34" s="99"/>
      <c r="G34" s="99"/>
      <c r="H34" s="99"/>
    </row>
    <row r="35" spans="2:19" ht="15" customHeight="1">
      <c r="B35" s="103" t="s">
        <v>39</v>
      </c>
      <c r="C35" s="99"/>
      <c r="D35" s="99"/>
      <c r="E35" s="99"/>
      <c r="F35" s="99"/>
      <c r="G35" s="99"/>
      <c r="H35" s="99"/>
    </row>
    <row r="36" spans="2:19" ht="15" customHeight="1">
      <c r="B36" s="99" t="s">
        <v>201</v>
      </c>
      <c r="C36" s="99"/>
      <c r="D36" s="99"/>
      <c r="E36" s="99"/>
      <c r="F36" s="99"/>
      <c r="G36" s="99"/>
      <c r="H36" s="99"/>
    </row>
    <row r="37" spans="2:19" ht="24.75" customHeight="1">
      <c r="B37" s="500" t="s">
        <v>949</v>
      </c>
      <c r="C37" s="500"/>
      <c r="D37" s="500"/>
      <c r="E37" s="500"/>
      <c r="F37" s="500"/>
      <c r="G37" s="500"/>
      <c r="H37" s="500"/>
      <c r="I37" s="500"/>
      <c r="J37" s="500"/>
      <c r="K37" s="500"/>
      <c r="L37" s="500"/>
      <c r="M37" s="500"/>
      <c r="N37" s="500"/>
      <c r="O37" s="500"/>
      <c r="P37" s="500"/>
      <c r="Q37" s="500"/>
      <c r="R37" s="500"/>
      <c r="S37" s="500"/>
    </row>
    <row r="38" spans="2:19" ht="23.25" customHeight="1">
      <c r="B38" s="500" t="s">
        <v>199</v>
      </c>
      <c r="C38" s="500"/>
      <c r="D38" s="500"/>
      <c r="E38" s="500"/>
      <c r="F38" s="500"/>
      <c r="G38" s="500"/>
      <c r="H38" s="500"/>
      <c r="I38" s="500"/>
      <c r="J38" s="500"/>
      <c r="K38" s="500"/>
      <c r="L38" s="500"/>
      <c r="M38" s="500"/>
      <c r="N38" s="500"/>
      <c r="O38" s="500"/>
      <c r="P38" s="500"/>
      <c r="Q38" s="500"/>
      <c r="R38" s="500"/>
      <c r="S38" s="500"/>
    </row>
    <row r="39" spans="2:19" ht="15" customHeight="1">
      <c r="B39" s="99" t="s">
        <v>200</v>
      </c>
      <c r="C39" s="99"/>
      <c r="D39" s="99"/>
      <c r="E39" s="99"/>
      <c r="F39" s="99"/>
      <c r="G39" s="99"/>
      <c r="H39" s="99"/>
    </row>
    <row r="40" spans="2:19" ht="15" customHeight="1">
      <c r="B40" s="61" t="s">
        <v>466</v>
      </c>
      <c r="C40" s="99"/>
      <c r="D40" s="99"/>
      <c r="E40" s="99"/>
      <c r="F40" s="99"/>
      <c r="G40" s="99"/>
      <c r="H40" s="99"/>
    </row>
    <row r="41" spans="2:19" ht="15" customHeight="1">
      <c r="B41" s="340" t="s">
        <v>634</v>
      </c>
      <c r="C41" s="99"/>
      <c r="D41" s="99"/>
      <c r="E41" s="99"/>
      <c r="F41" s="99"/>
      <c r="G41" s="99"/>
      <c r="H41" s="99"/>
    </row>
    <row r="42" spans="2:19" ht="16.5" customHeight="1">
      <c r="B42" s="42" t="s">
        <v>1081</v>
      </c>
      <c r="C42" s="142"/>
      <c r="D42" s="142"/>
      <c r="E42" s="142"/>
      <c r="F42" s="142"/>
      <c r="G42" s="142"/>
      <c r="H42" s="142"/>
      <c r="I42" s="142"/>
      <c r="J42" s="142"/>
      <c r="K42" s="142"/>
      <c r="L42" s="142"/>
      <c r="M42" s="142"/>
      <c r="N42" s="142"/>
      <c r="O42" s="142"/>
      <c r="P42" s="142"/>
      <c r="Q42" s="142"/>
      <c r="R42" s="142"/>
      <c r="S42" s="142"/>
    </row>
    <row r="43" spans="2:19">
      <c r="B43" s="339" t="s">
        <v>1082</v>
      </c>
    </row>
    <row r="44" spans="2:19">
      <c r="B44" s="35"/>
      <c r="C44" s="35"/>
      <c r="D44" s="35"/>
      <c r="E44" s="35"/>
      <c r="F44" s="35"/>
    </row>
    <row r="45" spans="2:19">
      <c r="B45" s="147"/>
      <c r="C45" s="35"/>
      <c r="D45" s="35"/>
      <c r="E45" s="35"/>
      <c r="F45" s="35"/>
    </row>
    <row r="46" spans="2:19">
      <c r="B46" s="147"/>
    </row>
  </sheetData>
  <mergeCells count="16">
    <mergeCell ref="B37:S37"/>
    <mergeCell ref="B38:S38"/>
    <mergeCell ref="B30:S30"/>
    <mergeCell ref="B31:S31"/>
    <mergeCell ref="O7:S7"/>
    <mergeCell ref="O8:P8"/>
    <mergeCell ref="R8:S8"/>
    <mergeCell ref="C8:D8"/>
    <mergeCell ref="F8:G8"/>
    <mergeCell ref="I8:J8"/>
    <mergeCell ref="L8:M8"/>
    <mergeCell ref="R1:S1"/>
    <mergeCell ref="B5:S5"/>
    <mergeCell ref="C7:G7"/>
    <mergeCell ref="I7:M7"/>
    <mergeCell ref="T1:U1"/>
  </mergeCells>
  <hyperlinks>
    <hyperlink ref="T1:U1" location="Contents!A1" display="Return to contents" xr:uid="{438A28C7-B534-4F9F-B18B-8F6C9BE64796}"/>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56"/>
  <sheetViews>
    <sheetView showGridLines="0" zoomScaleNormal="100" workbookViewId="0">
      <selection activeCell="R1" sqref="R1:S1"/>
    </sheetView>
  </sheetViews>
  <sheetFormatPr defaultRowHeight="15"/>
  <cols>
    <col min="2" max="2" width="26.5703125" customWidth="1"/>
    <col min="3" max="3" width="4" bestFit="1" customWidth="1"/>
    <col min="4" max="4" width="7.85546875" bestFit="1" customWidth="1"/>
    <col min="5" max="5" width="2.7109375" customWidth="1"/>
    <col min="6" max="6" width="4" bestFit="1" customWidth="1"/>
    <col min="7" max="7" width="7.85546875" bestFit="1" customWidth="1"/>
    <col min="8" max="8" width="2.7109375" customWidth="1"/>
    <col min="9" max="9" width="4" bestFit="1" customWidth="1"/>
    <col min="10" max="10" width="7" bestFit="1" customWidth="1"/>
    <col min="11" max="11" width="2.7109375" customWidth="1"/>
    <col min="12" max="12" width="4" bestFit="1" customWidth="1"/>
    <col min="13" max="13" width="7.85546875" bestFit="1" customWidth="1"/>
    <col min="14" max="14" width="2.7109375" customWidth="1"/>
    <col min="15" max="15" width="4" bestFit="1" customWidth="1"/>
    <col min="16" max="16" width="7" bestFit="1" customWidth="1"/>
    <col min="17" max="17" width="2.7109375" customWidth="1"/>
    <col min="18" max="18" width="4" customWidth="1"/>
    <col min="19" max="19" width="10.140625" customWidth="1"/>
  </cols>
  <sheetData>
    <row r="1" spans="2:19" ht="16.5" thickTop="1" thickBot="1">
      <c r="R1" s="498" t="s">
        <v>3</v>
      </c>
      <c r="S1" s="499"/>
    </row>
    <row r="2" spans="2:19" ht="15.75" thickTop="1"/>
    <row r="5" spans="2:19" ht="34.5" customHeight="1">
      <c r="B5" s="503" t="s">
        <v>952</v>
      </c>
      <c r="C5" s="503"/>
      <c r="D5" s="503"/>
      <c r="E5" s="503"/>
      <c r="F5" s="503"/>
      <c r="G5" s="503"/>
      <c r="H5" s="503"/>
      <c r="I5" s="503"/>
      <c r="J5" s="503"/>
      <c r="K5" s="503"/>
      <c r="L5" s="503"/>
      <c r="M5" s="503"/>
      <c r="N5" s="503"/>
      <c r="O5" s="503"/>
      <c r="P5" s="503"/>
      <c r="Q5" s="503"/>
      <c r="R5" s="503"/>
      <c r="S5" s="503"/>
    </row>
    <row r="6" spans="2:19" ht="16.5" customHeight="1"/>
    <row r="7" spans="2:19" ht="24" customHeight="1">
      <c r="B7" s="53"/>
      <c r="C7" s="505" t="s">
        <v>546</v>
      </c>
      <c r="D7" s="505"/>
      <c r="E7" s="505"/>
      <c r="F7" s="505"/>
      <c r="G7" s="505"/>
      <c r="H7" s="76"/>
      <c r="I7" s="505" t="s">
        <v>547</v>
      </c>
      <c r="J7" s="505"/>
      <c r="K7" s="505"/>
      <c r="L7" s="505"/>
      <c r="M7" s="505"/>
      <c r="N7" s="76"/>
      <c r="O7" s="505" t="s">
        <v>56</v>
      </c>
      <c r="P7" s="505"/>
      <c r="Q7" s="505"/>
      <c r="R7" s="505"/>
      <c r="S7" s="505"/>
    </row>
    <row r="8" spans="2:19" ht="15.75" customHeight="1">
      <c r="B8" s="54" t="s">
        <v>206</v>
      </c>
      <c r="C8" s="506" t="s">
        <v>11</v>
      </c>
      <c r="D8" s="506"/>
      <c r="E8" s="74"/>
      <c r="F8" s="506" t="s">
        <v>12</v>
      </c>
      <c r="G8" s="506"/>
      <c r="H8" s="77"/>
      <c r="I8" s="506" t="s">
        <v>11</v>
      </c>
      <c r="J8" s="506"/>
      <c r="K8" s="77"/>
      <c r="L8" s="506" t="s">
        <v>12</v>
      </c>
      <c r="M8" s="506"/>
      <c r="N8" s="77"/>
      <c r="O8" s="506" t="s">
        <v>11</v>
      </c>
      <c r="P8" s="506"/>
      <c r="Q8" s="77"/>
      <c r="R8" s="507" t="s">
        <v>12</v>
      </c>
      <c r="S8" s="507"/>
    </row>
    <row r="9" spans="2:19">
      <c r="B9" s="139" t="s">
        <v>15</v>
      </c>
      <c r="C9" s="81" t="s">
        <v>38</v>
      </c>
      <c r="D9" s="81" t="s">
        <v>51</v>
      </c>
      <c r="E9" s="81"/>
      <c r="F9" s="81" t="s">
        <v>38</v>
      </c>
      <c r="G9" s="81" t="s">
        <v>51</v>
      </c>
      <c r="H9" s="81"/>
      <c r="I9" s="81" t="s">
        <v>38</v>
      </c>
      <c r="J9" s="81" t="s">
        <v>51</v>
      </c>
      <c r="K9" s="81"/>
      <c r="L9" s="81" t="s">
        <v>38</v>
      </c>
      <c r="M9" s="81" t="s">
        <v>51</v>
      </c>
      <c r="N9" s="81"/>
      <c r="O9" s="81" t="s">
        <v>38</v>
      </c>
      <c r="P9" s="81" t="s">
        <v>51</v>
      </c>
      <c r="Q9" s="81"/>
      <c r="R9" s="81" t="s">
        <v>38</v>
      </c>
      <c r="S9" s="81" t="s">
        <v>51</v>
      </c>
    </row>
    <row r="10" spans="2:19" ht="15" customHeight="1">
      <c r="B10" s="131" t="s">
        <v>6</v>
      </c>
      <c r="C10" s="125">
        <v>39.299999999999997</v>
      </c>
      <c r="D10" s="125" t="s">
        <v>650</v>
      </c>
      <c r="E10" s="125"/>
      <c r="F10" s="125">
        <v>39.299999999999997</v>
      </c>
      <c r="G10" s="125" t="s">
        <v>643</v>
      </c>
      <c r="H10" s="125"/>
      <c r="I10" s="125" t="s">
        <v>950</v>
      </c>
      <c r="J10" s="125" t="s">
        <v>951</v>
      </c>
      <c r="K10" s="135"/>
      <c r="L10" s="125">
        <v>15.2</v>
      </c>
      <c r="M10" s="125" t="s">
        <v>655</v>
      </c>
      <c r="N10" s="125"/>
      <c r="O10" s="125">
        <v>2.2999999999999998</v>
      </c>
      <c r="P10" s="125" t="s">
        <v>670</v>
      </c>
      <c r="Q10" s="125"/>
      <c r="R10" s="125">
        <v>10.1</v>
      </c>
      <c r="S10" s="125" t="s">
        <v>677</v>
      </c>
    </row>
    <row r="11" spans="2:19" ht="15" customHeight="1">
      <c r="B11" s="131" t="s">
        <v>7</v>
      </c>
      <c r="C11" s="125">
        <v>30.3</v>
      </c>
      <c r="D11" s="125" t="s">
        <v>651</v>
      </c>
      <c r="E11" s="125"/>
      <c r="F11" s="125">
        <v>30.3</v>
      </c>
      <c r="G11" s="125" t="s">
        <v>644</v>
      </c>
      <c r="H11" s="125"/>
      <c r="I11" s="125">
        <v>3.7</v>
      </c>
      <c r="J11" s="125" t="s">
        <v>664</v>
      </c>
      <c r="K11" s="135"/>
      <c r="L11" s="125">
        <v>14.1</v>
      </c>
      <c r="M11" s="125" t="s">
        <v>656</v>
      </c>
      <c r="N11" s="125"/>
      <c r="O11" s="125">
        <v>2.2000000000000002</v>
      </c>
      <c r="P11" s="125" t="s">
        <v>684</v>
      </c>
      <c r="Q11" s="125"/>
      <c r="R11" s="125">
        <v>10.3</v>
      </c>
      <c r="S11" s="125" t="s">
        <v>686</v>
      </c>
    </row>
    <row r="12" spans="2:19" ht="15" customHeight="1">
      <c r="B12" s="131" t="s">
        <v>8</v>
      </c>
      <c r="C12" s="125">
        <v>43</v>
      </c>
      <c r="D12" s="125" t="s">
        <v>636</v>
      </c>
      <c r="E12" s="125"/>
      <c r="F12" s="125">
        <v>43</v>
      </c>
      <c r="G12" s="125" t="s">
        <v>645</v>
      </c>
      <c r="H12" s="125"/>
      <c r="I12" s="125">
        <v>4.5999999999999996</v>
      </c>
      <c r="J12" s="125" t="s">
        <v>665</v>
      </c>
      <c r="K12" s="135"/>
      <c r="L12" s="125">
        <v>11.6</v>
      </c>
      <c r="M12" s="125" t="s">
        <v>657</v>
      </c>
      <c r="N12" s="125"/>
      <c r="O12" s="125">
        <v>3.8</v>
      </c>
      <c r="P12" s="125" t="s">
        <v>671</v>
      </c>
      <c r="Q12" s="125"/>
      <c r="R12" s="125">
        <v>8.1</v>
      </c>
      <c r="S12" s="125" t="s">
        <v>678</v>
      </c>
    </row>
    <row r="13" spans="2:19" ht="15" customHeight="1">
      <c r="B13" s="131" t="s">
        <v>9</v>
      </c>
      <c r="C13" s="125">
        <v>41</v>
      </c>
      <c r="D13" s="125" t="s">
        <v>637</v>
      </c>
      <c r="E13" s="125"/>
      <c r="F13" s="125">
        <v>41</v>
      </c>
      <c r="G13" s="125" t="s">
        <v>646</v>
      </c>
      <c r="H13" s="125"/>
      <c r="I13" s="125">
        <v>2.7</v>
      </c>
      <c r="J13" s="125" t="s">
        <v>666</v>
      </c>
      <c r="K13" s="135"/>
      <c r="L13" s="125">
        <v>13.7</v>
      </c>
      <c r="M13" s="125" t="s">
        <v>658</v>
      </c>
      <c r="N13" s="125"/>
      <c r="O13" s="125">
        <v>1.7</v>
      </c>
      <c r="P13" s="125" t="s">
        <v>672</v>
      </c>
      <c r="Q13" s="125"/>
      <c r="R13" s="125">
        <v>8.6</v>
      </c>
      <c r="S13" s="125" t="s">
        <v>679</v>
      </c>
    </row>
    <row r="14" spans="2:19" ht="15" customHeight="1">
      <c r="B14" s="131" t="s">
        <v>10</v>
      </c>
      <c r="C14" s="125">
        <v>44.2</v>
      </c>
      <c r="D14" s="125" t="s">
        <v>638</v>
      </c>
      <c r="E14" s="125"/>
      <c r="F14" s="125">
        <v>44.2</v>
      </c>
      <c r="G14" s="125" t="s">
        <v>652</v>
      </c>
      <c r="H14" s="125"/>
      <c r="I14" s="125">
        <v>2.7</v>
      </c>
      <c r="J14" s="125" t="s">
        <v>666</v>
      </c>
      <c r="K14" s="135"/>
      <c r="L14" s="125">
        <v>11.2</v>
      </c>
      <c r="M14" s="125" t="s">
        <v>659</v>
      </c>
      <c r="N14" s="125"/>
      <c r="O14" s="125">
        <v>2</v>
      </c>
      <c r="P14" s="125" t="s">
        <v>673</v>
      </c>
      <c r="Q14" s="125"/>
      <c r="R14" s="125">
        <v>8.1999999999999993</v>
      </c>
      <c r="S14" s="125" t="s">
        <v>680</v>
      </c>
    </row>
    <row r="15" spans="2:19" ht="15" customHeight="1">
      <c r="B15" s="131" t="s">
        <v>13</v>
      </c>
      <c r="C15" s="125">
        <v>45.1</v>
      </c>
      <c r="D15" s="125" t="s">
        <v>639</v>
      </c>
      <c r="E15" s="125"/>
      <c r="F15" s="125">
        <v>45.1</v>
      </c>
      <c r="G15" s="125" t="s">
        <v>647</v>
      </c>
      <c r="H15" s="125"/>
      <c r="I15" s="125">
        <v>8.9</v>
      </c>
      <c r="J15" s="125" t="s">
        <v>667</v>
      </c>
      <c r="K15" s="135"/>
      <c r="L15" s="125">
        <v>12.2</v>
      </c>
      <c r="M15" s="125" t="s">
        <v>660</v>
      </c>
      <c r="N15" s="125"/>
      <c r="O15" s="125">
        <v>6.5</v>
      </c>
      <c r="P15" s="125" t="s">
        <v>674</v>
      </c>
      <c r="Q15" s="125"/>
      <c r="R15" s="125">
        <v>8.8000000000000007</v>
      </c>
      <c r="S15" s="125" t="s">
        <v>681</v>
      </c>
    </row>
    <row r="16" spans="2:19" ht="15" customHeight="1">
      <c r="B16" s="131" t="s">
        <v>14</v>
      </c>
      <c r="C16" s="125">
        <v>54.9</v>
      </c>
      <c r="D16" s="125" t="s">
        <v>640</v>
      </c>
      <c r="E16" s="125"/>
      <c r="F16" s="125">
        <v>54.9</v>
      </c>
      <c r="G16" s="125" t="s">
        <v>640</v>
      </c>
      <c r="H16" s="125"/>
      <c r="I16" s="125">
        <v>8.3000000000000007</v>
      </c>
      <c r="J16" s="125" t="s">
        <v>654</v>
      </c>
      <c r="K16" s="135"/>
      <c r="L16" s="125">
        <v>11.4</v>
      </c>
      <c r="M16" s="125" t="s">
        <v>661</v>
      </c>
      <c r="N16" s="125"/>
      <c r="O16" s="125">
        <v>5.7</v>
      </c>
      <c r="P16" s="125" t="s">
        <v>675</v>
      </c>
      <c r="Q16" s="125"/>
      <c r="R16" s="125">
        <v>9.5</v>
      </c>
      <c r="S16" s="125" t="s">
        <v>682</v>
      </c>
    </row>
    <row r="17" spans="2:19" ht="15" customHeight="1">
      <c r="B17" s="131" t="s">
        <v>55</v>
      </c>
      <c r="C17" s="125">
        <v>41.2</v>
      </c>
      <c r="D17" s="125" t="s">
        <v>641</v>
      </c>
      <c r="E17" s="125"/>
      <c r="F17" s="125">
        <v>41.2</v>
      </c>
      <c r="G17" s="125" t="s">
        <v>648</v>
      </c>
      <c r="H17" s="125"/>
      <c r="I17" s="125">
        <v>4.4000000000000004</v>
      </c>
      <c r="J17" s="125" t="s">
        <v>668</v>
      </c>
      <c r="K17" s="135"/>
      <c r="L17" s="125">
        <v>12.8</v>
      </c>
      <c r="M17" s="125" t="s">
        <v>662</v>
      </c>
      <c r="N17" s="125"/>
      <c r="O17" s="125">
        <v>2.9</v>
      </c>
      <c r="P17" s="125" t="s">
        <v>676</v>
      </c>
      <c r="Q17" s="125"/>
      <c r="R17" s="125">
        <v>9</v>
      </c>
      <c r="S17" s="125" t="s">
        <v>683</v>
      </c>
    </row>
    <row r="18" spans="2:19" ht="15" customHeight="1">
      <c r="B18" s="131" t="s">
        <v>635</v>
      </c>
      <c r="C18" s="129">
        <v>49.4</v>
      </c>
      <c r="D18" s="129" t="s">
        <v>642</v>
      </c>
      <c r="E18" s="129"/>
      <c r="F18" s="129">
        <v>59.3</v>
      </c>
      <c r="G18" s="129" t="s">
        <v>649</v>
      </c>
      <c r="H18" s="129"/>
      <c r="I18" s="125">
        <v>8.9</v>
      </c>
      <c r="J18" s="125" t="s">
        <v>669</v>
      </c>
      <c r="K18" s="135"/>
      <c r="L18" s="125">
        <v>11.6</v>
      </c>
      <c r="M18" s="125" t="s">
        <v>663</v>
      </c>
      <c r="N18" s="129"/>
      <c r="O18" s="125">
        <v>6.1</v>
      </c>
      <c r="P18" s="125" t="s">
        <v>685</v>
      </c>
      <c r="Q18" s="129"/>
      <c r="R18" s="125">
        <v>9</v>
      </c>
      <c r="S18" s="125" t="s">
        <v>687</v>
      </c>
    </row>
    <row r="20" spans="2:19" ht="15" customHeight="1">
      <c r="B20" s="131"/>
      <c r="C20" s="129"/>
      <c r="D20" s="129"/>
      <c r="E20" s="129"/>
      <c r="F20" s="129"/>
      <c r="G20" s="129"/>
      <c r="H20" s="129"/>
      <c r="I20" s="129"/>
      <c r="J20" s="129"/>
      <c r="K20" s="129"/>
      <c r="L20" s="129"/>
      <c r="M20" s="129"/>
      <c r="N20" s="129"/>
      <c r="O20" s="129"/>
      <c r="P20" s="129"/>
      <c r="Q20" s="129"/>
      <c r="R20" s="129"/>
      <c r="S20" s="129"/>
    </row>
    <row r="21" spans="2:19" ht="15" customHeight="1">
      <c r="B21" s="130" t="s">
        <v>953</v>
      </c>
      <c r="C21" s="219"/>
      <c r="D21" s="129"/>
      <c r="E21" s="129"/>
      <c r="F21" s="129"/>
      <c r="G21" s="129"/>
      <c r="H21" s="129"/>
      <c r="I21" s="129"/>
      <c r="J21" s="129"/>
      <c r="K21" s="129"/>
      <c r="L21" s="129"/>
      <c r="M21" s="129"/>
      <c r="N21" s="129"/>
      <c r="O21" s="129"/>
      <c r="P21" s="129"/>
      <c r="Q21" s="129"/>
      <c r="R21" s="129"/>
      <c r="S21" s="129"/>
    </row>
    <row r="22" spans="2:19" ht="15" customHeight="1">
      <c r="B22" s="131" t="s">
        <v>52</v>
      </c>
      <c r="C22" s="125">
        <v>47.5</v>
      </c>
      <c r="D22" s="125" t="s">
        <v>492</v>
      </c>
      <c r="E22" s="125"/>
      <c r="F22" s="125">
        <v>55.9</v>
      </c>
      <c r="G22" s="125" t="s">
        <v>495</v>
      </c>
      <c r="H22" s="125"/>
      <c r="I22" s="125">
        <v>4</v>
      </c>
      <c r="J22" s="125" t="s">
        <v>478</v>
      </c>
      <c r="K22" s="125"/>
      <c r="L22" s="125">
        <v>9.5</v>
      </c>
      <c r="M22" s="125" t="s">
        <v>481</v>
      </c>
      <c r="N22" s="125"/>
      <c r="O22" s="125">
        <v>3</v>
      </c>
      <c r="P22" s="125" t="s">
        <v>437</v>
      </c>
      <c r="Q22" s="125"/>
      <c r="R22" s="125">
        <v>6.8</v>
      </c>
      <c r="S22" s="125" t="s">
        <v>439</v>
      </c>
    </row>
    <row r="23" spans="2:19" ht="15" customHeight="1">
      <c r="B23" s="131" t="s">
        <v>53</v>
      </c>
      <c r="C23" s="125">
        <v>42.2</v>
      </c>
      <c r="D23" s="125" t="s">
        <v>493</v>
      </c>
      <c r="E23" s="125"/>
      <c r="F23" s="125">
        <v>52.1</v>
      </c>
      <c r="G23" s="125" t="s">
        <v>496</v>
      </c>
      <c r="H23" s="125"/>
      <c r="I23" s="125">
        <v>4.0999999999999996</v>
      </c>
      <c r="J23" s="125" t="s">
        <v>479</v>
      </c>
      <c r="K23" s="125"/>
      <c r="L23" s="125">
        <v>13.8</v>
      </c>
      <c r="M23" s="125" t="s">
        <v>482</v>
      </c>
      <c r="N23" s="125"/>
      <c r="O23" s="125">
        <v>2.7</v>
      </c>
      <c r="P23" s="125" t="s">
        <v>57</v>
      </c>
      <c r="Q23" s="125"/>
      <c r="R23" s="125">
        <v>8.9</v>
      </c>
      <c r="S23" s="125" t="s">
        <v>440</v>
      </c>
    </row>
    <row r="24" spans="2:19" ht="15" customHeight="1">
      <c r="B24" s="131" t="s">
        <v>54</v>
      </c>
      <c r="C24" s="125">
        <v>42</v>
      </c>
      <c r="D24" s="125" t="s">
        <v>494</v>
      </c>
      <c r="E24" s="125"/>
      <c r="F24" s="125">
        <v>51.7</v>
      </c>
      <c r="G24" s="125" t="s">
        <v>530</v>
      </c>
      <c r="H24" s="125"/>
      <c r="I24" s="125">
        <v>4</v>
      </c>
      <c r="J24" s="125" t="s">
        <v>480</v>
      </c>
      <c r="K24" s="125"/>
      <c r="L24" s="125">
        <v>12.3</v>
      </c>
      <c r="M24" s="125" t="s">
        <v>483</v>
      </c>
      <c r="N24" s="125"/>
      <c r="O24" s="125">
        <v>3.2</v>
      </c>
      <c r="P24" s="125" t="s">
        <v>438</v>
      </c>
      <c r="Q24" s="125"/>
      <c r="R24" s="125">
        <v>8.6</v>
      </c>
      <c r="S24" s="125" t="s">
        <v>441</v>
      </c>
    </row>
    <row r="25" spans="2:19" ht="15" customHeight="1">
      <c r="B25" s="130"/>
      <c r="C25" s="125"/>
      <c r="D25" s="125"/>
      <c r="E25" s="125"/>
      <c r="F25" s="125"/>
      <c r="G25" s="125"/>
      <c r="H25" s="125"/>
      <c r="I25" s="125"/>
      <c r="J25" s="125"/>
      <c r="K25" s="125"/>
      <c r="L25" s="125"/>
      <c r="M25" s="125"/>
      <c r="N25" s="125"/>
      <c r="O25" s="125"/>
      <c r="P25" s="125"/>
      <c r="Q25" s="125"/>
      <c r="R25" s="125"/>
      <c r="S25" s="125"/>
    </row>
    <row r="26" spans="2:19" ht="15" customHeight="1">
      <c r="B26" s="130" t="s">
        <v>954</v>
      </c>
      <c r="C26" s="220"/>
      <c r="D26" s="129"/>
      <c r="E26" s="129"/>
      <c r="F26" s="129"/>
      <c r="G26" s="129"/>
      <c r="H26" s="129"/>
      <c r="I26" s="129"/>
      <c r="J26" s="129"/>
      <c r="K26" s="129"/>
      <c r="L26" s="129"/>
      <c r="M26" s="129"/>
      <c r="N26" s="129"/>
      <c r="O26" s="129"/>
      <c r="P26" s="129"/>
      <c r="Q26" s="129"/>
      <c r="R26" s="129"/>
      <c r="S26" s="129"/>
    </row>
    <row r="27" spans="2:19" ht="15" customHeight="1">
      <c r="B27" s="131" t="s">
        <v>463</v>
      </c>
      <c r="C27" s="125">
        <v>42.9</v>
      </c>
      <c r="D27" s="125" t="s">
        <v>497</v>
      </c>
      <c r="E27" s="125"/>
      <c r="F27" s="125">
        <v>51.5</v>
      </c>
      <c r="G27" s="125" t="s">
        <v>502</v>
      </c>
      <c r="H27" s="125"/>
      <c r="I27" s="125">
        <v>3.1</v>
      </c>
      <c r="J27" s="125" t="s">
        <v>484</v>
      </c>
      <c r="K27" s="125"/>
      <c r="L27" s="125">
        <v>8.3000000000000007</v>
      </c>
      <c r="M27" s="125" t="s">
        <v>488</v>
      </c>
      <c r="N27" s="125"/>
      <c r="O27" s="125">
        <v>2.1</v>
      </c>
      <c r="P27" s="125" t="s">
        <v>334</v>
      </c>
      <c r="Q27" s="125"/>
      <c r="R27" s="125">
        <v>5.6</v>
      </c>
      <c r="S27" s="125" t="s">
        <v>329</v>
      </c>
    </row>
    <row r="28" spans="2:19" ht="15" customHeight="1">
      <c r="B28" s="131">
        <v>2</v>
      </c>
      <c r="C28" s="125">
        <v>45.6</v>
      </c>
      <c r="D28" s="125" t="s">
        <v>498</v>
      </c>
      <c r="E28" s="125"/>
      <c r="F28" s="125">
        <v>52.6</v>
      </c>
      <c r="G28" s="125" t="s">
        <v>531</v>
      </c>
      <c r="H28" s="125"/>
      <c r="I28" s="125">
        <v>4.7</v>
      </c>
      <c r="J28" s="125" t="s">
        <v>59</v>
      </c>
      <c r="K28" s="125"/>
      <c r="L28" s="125">
        <v>10.199999999999999</v>
      </c>
      <c r="M28" s="125" t="s">
        <v>489</v>
      </c>
      <c r="N28" s="125"/>
      <c r="O28" s="125">
        <v>3.3</v>
      </c>
      <c r="P28" s="125" t="s">
        <v>335</v>
      </c>
      <c r="Q28" s="125"/>
      <c r="R28" s="125">
        <v>6.9</v>
      </c>
      <c r="S28" s="125" t="s">
        <v>330</v>
      </c>
    </row>
    <row r="29" spans="2:19" ht="15" customHeight="1">
      <c r="B29" s="131">
        <v>3</v>
      </c>
      <c r="C29" s="125">
        <v>44.2</v>
      </c>
      <c r="D29" s="125" t="s">
        <v>499</v>
      </c>
      <c r="E29" s="125"/>
      <c r="F29" s="125">
        <v>55.2</v>
      </c>
      <c r="G29" s="125" t="s">
        <v>58</v>
      </c>
      <c r="H29" s="125"/>
      <c r="I29" s="125">
        <v>3.4</v>
      </c>
      <c r="J29" s="125" t="s">
        <v>485</v>
      </c>
      <c r="K29" s="125"/>
      <c r="L29" s="125">
        <v>10.3</v>
      </c>
      <c r="M29" s="125" t="s">
        <v>490</v>
      </c>
      <c r="N29" s="125"/>
      <c r="O29" s="125">
        <v>2.4</v>
      </c>
      <c r="P29" s="125" t="s">
        <v>75</v>
      </c>
      <c r="Q29" s="125"/>
      <c r="R29" s="125">
        <v>7.7</v>
      </c>
      <c r="S29" s="125" t="s">
        <v>331</v>
      </c>
    </row>
    <row r="30" spans="2:19" ht="15" customHeight="1">
      <c r="B30" s="131">
        <v>4</v>
      </c>
      <c r="C30" s="125">
        <v>47.4</v>
      </c>
      <c r="D30" s="125" t="s">
        <v>500</v>
      </c>
      <c r="E30" s="125"/>
      <c r="F30" s="125">
        <v>57</v>
      </c>
      <c r="G30" s="125" t="s">
        <v>503</v>
      </c>
      <c r="H30" s="125"/>
      <c r="I30" s="125">
        <v>3.9</v>
      </c>
      <c r="J30" s="125" t="s">
        <v>486</v>
      </c>
      <c r="K30" s="125"/>
      <c r="L30" s="125">
        <v>12.1</v>
      </c>
      <c r="M30" s="125" t="s">
        <v>60</v>
      </c>
      <c r="N30" s="125"/>
      <c r="O30" s="125">
        <v>3.3</v>
      </c>
      <c r="P30" s="125" t="s">
        <v>336</v>
      </c>
      <c r="Q30" s="125"/>
      <c r="R30" s="125">
        <v>8.6999999999999993</v>
      </c>
      <c r="S30" s="125" t="s">
        <v>332</v>
      </c>
    </row>
    <row r="31" spans="2:19" ht="15" customHeight="1">
      <c r="B31" s="133" t="s">
        <v>464</v>
      </c>
      <c r="C31" s="127">
        <v>50.5</v>
      </c>
      <c r="D31" s="127" t="s">
        <v>501</v>
      </c>
      <c r="E31" s="127"/>
      <c r="F31" s="127">
        <v>57.8</v>
      </c>
      <c r="G31" s="127" t="s">
        <v>504</v>
      </c>
      <c r="H31" s="127"/>
      <c r="I31" s="127">
        <v>5.0999999999999996</v>
      </c>
      <c r="J31" s="127" t="s">
        <v>487</v>
      </c>
      <c r="K31" s="127"/>
      <c r="L31" s="127">
        <v>12</v>
      </c>
      <c r="M31" s="127" t="s">
        <v>491</v>
      </c>
      <c r="N31" s="127"/>
      <c r="O31" s="127">
        <v>3.6</v>
      </c>
      <c r="P31" s="127" t="s">
        <v>337</v>
      </c>
      <c r="Q31" s="127"/>
      <c r="R31" s="127">
        <v>7.9</v>
      </c>
      <c r="S31" s="127" t="s">
        <v>333</v>
      </c>
    </row>
    <row r="32" spans="2:19" ht="15" customHeight="1">
      <c r="B32" s="504" t="s">
        <v>541</v>
      </c>
      <c r="C32" s="504"/>
      <c r="D32" s="504"/>
      <c r="E32" s="504"/>
      <c r="F32" s="504"/>
      <c r="G32" s="504"/>
      <c r="H32" s="504"/>
      <c r="I32" s="504"/>
      <c r="J32" s="504"/>
      <c r="K32" s="504"/>
      <c r="L32" s="504"/>
      <c r="M32" s="504"/>
      <c r="N32" s="101"/>
    </row>
    <row r="33" spans="1:20" ht="15" customHeight="1">
      <c r="B33" s="60" t="s">
        <v>542</v>
      </c>
      <c r="C33" s="58"/>
      <c r="D33" s="58"/>
      <c r="E33" s="58"/>
      <c r="F33" s="58"/>
      <c r="G33" s="58"/>
      <c r="H33" s="58"/>
      <c r="I33" s="58"/>
      <c r="J33" s="58"/>
      <c r="K33" s="58"/>
      <c r="L33" s="58"/>
      <c r="M33" s="58"/>
      <c r="N33" s="58"/>
    </row>
    <row r="34" spans="1:20" ht="15" customHeight="1">
      <c r="B34" s="60" t="s">
        <v>475</v>
      </c>
      <c r="C34" s="58"/>
      <c r="D34" s="58"/>
      <c r="E34" s="58"/>
      <c r="F34" s="58"/>
      <c r="G34" s="58"/>
      <c r="H34" s="58"/>
      <c r="I34" s="58"/>
      <c r="J34" s="58"/>
      <c r="K34" s="58"/>
      <c r="L34" s="58"/>
      <c r="M34" s="58"/>
      <c r="N34" s="58"/>
    </row>
    <row r="35" spans="1:20" ht="15" customHeight="1">
      <c r="B35" s="60" t="s">
        <v>476</v>
      </c>
      <c r="C35" s="58"/>
      <c r="D35" s="58"/>
      <c r="E35" s="58"/>
      <c r="F35" s="58"/>
      <c r="G35" s="58"/>
      <c r="H35" s="58"/>
      <c r="I35" s="58"/>
      <c r="J35" s="58"/>
      <c r="K35" s="58"/>
      <c r="L35" s="58"/>
      <c r="M35" s="58"/>
      <c r="N35" s="58"/>
    </row>
    <row r="36" spans="1:20" ht="15" customHeight="1">
      <c r="B36" s="500" t="s">
        <v>474</v>
      </c>
      <c r="C36" s="500"/>
      <c r="D36" s="500"/>
      <c r="E36" s="500"/>
      <c r="F36" s="500"/>
      <c r="G36" s="500"/>
      <c r="H36" s="102"/>
      <c r="I36" s="58"/>
      <c r="J36" s="58"/>
      <c r="K36" s="58"/>
      <c r="L36" s="58"/>
      <c r="M36" s="58"/>
      <c r="N36" s="58"/>
    </row>
    <row r="37" spans="1:20" ht="15" customHeight="1">
      <c r="B37" s="70" t="s">
        <v>971</v>
      </c>
      <c r="C37" s="102"/>
      <c r="D37" s="102"/>
      <c r="E37" s="102"/>
      <c r="F37" s="102"/>
      <c r="G37" s="102"/>
      <c r="H37" s="102"/>
      <c r="I37" s="58"/>
      <c r="J37" s="58"/>
      <c r="K37" s="58"/>
      <c r="L37" s="58"/>
      <c r="M37" s="58"/>
      <c r="N37" s="58"/>
    </row>
    <row r="38" spans="1:20" ht="15" customHeight="1">
      <c r="B38" s="80" t="s">
        <v>39</v>
      </c>
      <c r="C38" s="58"/>
      <c r="D38" s="58"/>
      <c r="E38" s="58"/>
      <c r="F38" s="58"/>
      <c r="G38" s="58"/>
      <c r="H38" s="58"/>
      <c r="I38" s="58"/>
      <c r="J38" s="58"/>
      <c r="K38" s="58"/>
      <c r="L38" s="58"/>
      <c r="M38" s="58"/>
      <c r="N38" s="58"/>
    </row>
    <row r="39" spans="1:20" ht="15" customHeight="1">
      <c r="B39" s="60" t="s">
        <v>48</v>
      </c>
      <c r="C39" s="58"/>
      <c r="D39" s="58"/>
      <c r="E39" s="58"/>
      <c r="F39" s="58"/>
      <c r="G39" s="58"/>
      <c r="H39" s="58"/>
      <c r="I39" s="58"/>
      <c r="J39" s="58"/>
      <c r="K39" s="58"/>
      <c r="L39" s="58"/>
      <c r="M39" s="58"/>
      <c r="N39" s="58"/>
    </row>
    <row r="40" spans="1:20" ht="22.5" customHeight="1">
      <c r="B40" s="500" t="s">
        <v>194</v>
      </c>
      <c r="C40" s="500"/>
      <c r="D40" s="500"/>
      <c r="E40" s="500"/>
      <c r="F40" s="500"/>
      <c r="G40" s="500"/>
      <c r="H40" s="500"/>
      <c r="I40" s="500"/>
      <c r="J40" s="500"/>
      <c r="K40" s="500"/>
      <c r="L40" s="500"/>
      <c r="M40" s="500"/>
      <c r="N40" s="500"/>
      <c r="O40" s="500"/>
      <c r="P40" s="500"/>
      <c r="Q40" s="500"/>
      <c r="R40" s="500"/>
      <c r="S40" s="500"/>
      <c r="T40" s="99"/>
    </row>
    <row r="41" spans="1:20" ht="15" customHeight="1">
      <c r="B41" s="99" t="s">
        <v>196</v>
      </c>
      <c r="C41" s="102"/>
      <c r="D41" s="102"/>
      <c r="E41" s="102"/>
      <c r="F41" s="102"/>
      <c r="G41" s="102"/>
      <c r="H41" s="102"/>
      <c r="I41" s="102"/>
      <c r="J41" s="102"/>
      <c r="K41" s="102"/>
      <c r="L41" s="102"/>
      <c r="M41" s="102"/>
      <c r="N41" s="102"/>
      <c r="O41" s="102"/>
      <c r="P41" s="102"/>
      <c r="Q41" s="102"/>
      <c r="R41" s="102"/>
      <c r="S41" s="102"/>
      <c r="T41" s="102"/>
    </row>
    <row r="42" spans="1:20" ht="15" customHeight="1">
      <c r="B42" s="61" t="s">
        <v>197</v>
      </c>
      <c r="C42" s="102"/>
      <c r="D42" s="102"/>
      <c r="E42" s="102"/>
      <c r="F42" s="102"/>
      <c r="G42" s="102"/>
      <c r="H42" s="102"/>
      <c r="I42" s="102"/>
      <c r="J42" s="102"/>
      <c r="K42" s="102"/>
      <c r="L42" s="102"/>
      <c r="M42" s="102"/>
      <c r="N42" s="102"/>
    </row>
    <row r="43" spans="1:20" ht="15" customHeight="1">
      <c r="B43" s="504" t="s">
        <v>512</v>
      </c>
      <c r="C43" s="504"/>
      <c r="D43" s="504"/>
      <c r="E43" s="504"/>
      <c r="F43" s="504"/>
      <c r="G43" s="504"/>
      <c r="H43" s="504"/>
      <c r="I43" s="504"/>
      <c r="J43" s="504"/>
      <c r="K43" s="504"/>
      <c r="L43" s="504"/>
      <c r="M43" s="504"/>
      <c r="N43" s="101"/>
    </row>
    <row r="44" spans="1:20" s="192" customFormat="1" ht="15" customHeight="1">
      <c r="B44" s="142" t="s">
        <v>1080</v>
      </c>
      <c r="C44" s="101"/>
      <c r="D44" s="101"/>
      <c r="E44" s="101"/>
      <c r="F44" s="101"/>
      <c r="G44" s="101"/>
      <c r="H44" s="101"/>
      <c r="I44" s="101"/>
      <c r="J44" s="101"/>
      <c r="K44" s="101"/>
      <c r="L44" s="101"/>
      <c r="M44" s="101"/>
      <c r="N44" s="101"/>
    </row>
    <row r="45" spans="1:20" s="192" customFormat="1" ht="11.25">
      <c r="A45" s="42"/>
      <c r="B45" s="142" t="s">
        <v>1079</v>
      </c>
      <c r="C45" s="42"/>
      <c r="D45" s="42"/>
      <c r="E45" s="42"/>
      <c r="F45" s="42"/>
      <c r="G45" s="42"/>
      <c r="H45" s="42"/>
      <c r="I45" s="42"/>
      <c r="J45" s="42"/>
      <c r="K45" s="42"/>
      <c r="L45" s="42"/>
      <c r="M45" s="42"/>
      <c r="N45" s="42"/>
      <c r="O45" s="42"/>
      <c r="P45" s="42"/>
      <c r="Q45" s="42"/>
      <c r="R45" s="42"/>
      <c r="S45" s="42"/>
    </row>
    <row r="46" spans="1:20">
      <c r="A46" s="35"/>
      <c r="C46" s="35"/>
      <c r="D46" s="35"/>
      <c r="E46" s="35"/>
      <c r="F46" s="35"/>
      <c r="G46" s="35"/>
      <c r="H46" s="35"/>
      <c r="I46" s="35"/>
      <c r="J46" s="35"/>
      <c r="K46" s="35"/>
      <c r="L46" s="35"/>
      <c r="M46" s="35"/>
      <c r="N46" s="35"/>
      <c r="O46" s="35"/>
      <c r="P46" s="35"/>
      <c r="Q46" s="35"/>
      <c r="R46" s="35"/>
      <c r="S46" s="35"/>
    </row>
    <row r="47" spans="1:20">
      <c r="A47" s="35"/>
      <c r="B47" s="35"/>
      <c r="C47" s="35"/>
      <c r="D47" s="35"/>
      <c r="E47" s="35"/>
      <c r="F47" s="35"/>
      <c r="G47" s="35"/>
      <c r="H47" s="35"/>
      <c r="I47" s="35"/>
      <c r="J47" s="35"/>
      <c r="K47" s="35"/>
      <c r="L47" s="35"/>
      <c r="M47" s="35"/>
      <c r="N47" s="35"/>
      <c r="O47" s="35"/>
      <c r="P47" s="35"/>
      <c r="Q47" s="35"/>
      <c r="R47" s="35"/>
      <c r="S47" s="35"/>
    </row>
    <row r="48" spans="1:20">
      <c r="A48" s="35"/>
      <c r="B48" s="89"/>
      <c r="C48" s="35"/>
      <c r="D48" s="35"/>
      <c r="E48" s="35"/>
      <c r="F48" s="35"/>
      <c r="G48" s="35"/>
      <c r="H48" s="35"/>
      <c r="I48" s="35"/>
      <c r="J48" s="35"/>
      <c r="K48" s="35"/>
      <c r="L48" s="35"/>
      <c r="M48" s="35"/>
      <c r="N48" s="35"/>
      <c r="O48" s="35"/>
      <c r="P48" s="35"/>
      <c r="Q48" s="35"/>
      <c r="R48" s="35"/>
      <c r="S48" s="35"/>
    </row>
    <row r="49" spans="1:19">
      <c r="A49" s="35"/>
      <c r="B49" s="89"/>
      <c r="C49" s="35"/>
      <c r="D49" s="35"/>
      <c r="E49" s="35"/>
      <c r="F49" s="35"/>
      <c r="G49" s="35"/>
      <c r="H49" s="35"/>
      <c r="I49" s="35"/>
      <c r="J49" s="35"/>
      <c r="K49" s="35"/>
      <c r="L49" s="35"/>
      <c r="M49" s="35"/>
      <c r="N49" s="35"/>
      <c r="O49" s="35"/>
      <c r="P49" s="35"/>
      <c r="Q49" s="35"/>
      <c r="R49" s="35"/>
      <c r="S49" s="35"/>
    </row>
    <row r="50" spans="1:19">
      <c r="A50" s="35"/>
      <c r="B50" s="35"/>
      <c r="C50" s="35"/>
      <c r="D50" s="35"/>
      <c r="E50" s="35"/>
      <c r="F50" s="35"/>
      <c r="G50" s="35"/>
      <c r="H50" s="35"/>
      <c r="I50" s="35"/>
      <c r="J50" s="35"/>
      <c r="K50" s="35"/>
      <c r="L50" s="35"/>
      <c r="M50" s="35"/>
      <c r="N50" s="35"/>
      <c r="O50" s="35"/>
      <c r="P50" s="35"/>
      <c r="Q50" s="35"/>
      <c r="R50" s="35"/>
      <c r="S50" s="35"/>
    </row>
    <row r="52" spans="1:19">
      <c r="D52" s="51"/>
      <c r="E52" s="51"/>
    </row>
    <row r="53" spans="1:19">
      <c r="D53" s="51"/>
      <c r="E53" s="51"/>
    </row>
    <row r="54" spans="1:19">
      <c r="D54" s="51"/>
      <c r="E54" s="51"/>
    </row>
    <row r="55" spans="1:19">
      <c r="D55" s="51"/>
      <c r="E55" s="51"/>
    </row>
    <row r="56" spans="1:19">
      <c r="D56" s="51"/>
      <c r="E56" s="51"/>
    </row>
  </sheetData>
  <mergeCells count="15">
    <mergeCell ref="R1:S1"/>
    <mergeCell ref="B5:S5"/>
    <mergeCell ref="B32:M32"/>
    <mergeCell ref="B36:G36"/>
    <mergeCell ref="B43:M43"/>
    <mergeCell ref="O7:S7"/>
    <mergeCell ref="O8:P8"/>
    <mergeCell ref="R8:S8"/>
    <mergeCell ref="C8:D8"/>
    <mergeCell ref="C7:G7"/>
    <mergeCell ref="I7:M7"/>
    <mergeCell ref="F8:G8"/>
    <mergeCell ref="I8:J8"/>
    <mergeCell ref="L8:M8"/>
    <mergeCell ref="B40:S40"/>
  </mergeCells>
  <hyperlinks>
    <hyperlink ref="R1:S1" location="Contents!A1" display="Return to contents" xr:uid="{157E0EF5-5986-47B7-BAA6-48427FA4020B}"/>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Y51"/>
  <sheetViews>
    <sheetView showGridLines="0" zoomScaleNormal="100" workbookViewId="0">
      <selection activeCell="X1" sqref="X1:Y1"/>
    </sheetView>
  </sheetViews>
  <sheetFormatPr defaultRowHeight="15"/>
  <cols>
    <col min="2" max="2" width="25.140625" bestFit="1" customWidth="1"/>
    <col min="3" max="3" width="4.7109375" customWidth="1"/>
    <col min="4" max="4" width="7.85546875" bestFit="1" customWidth="1"/>
    <col min="5" max="5" width="2.7109375" customWidth="1"/>
    <col min="6" max="6" width="4" customWidth="1"/>
    <col min="7" max="7" width="7" customWidth="1"/>
    <col min="8" max="8" width="2.7109375" customWidth="1"/>
    <col min="9" max="9" width="6.7109375" customWidth="1"/>
    <col min="10" max="10" width="7.85546875" bestFit="1" customWidth="1"/>
    <col min="11" max="11" width="2.7109375" customWidth="1"/>
    <col min="12" max="12" width="6.140625" customWidth="1"/>
    <col min="13" max="13" width="7.85546875" customWidth="1"/>
    <col min="14" max="14" width="2.7109375" customWidth="1"/>
    <col min="15" max="15" width="3.5703125" bestFit="1" customWidth="1"/>
    <col min="16" max="16" width="6.140625" bestFit="1" customWidth="1"/>
    <col min="17" max="17" width="2.7109375" customWidth="1"/>
    <col min="18" max="18" width="3.140625" customWidth="1"/>
    <col min="19" max="19" width="9.42578125" customWidth="1"/>
    <col min="20" max="20" width="2.7109375" customWidth="1"/>
    <col min="21" max="21" width="4.28515625" customWidth="1"/>
    <col min="22" max="22" width="7.85546875" bestFit="1" customWidth="1"/>
    <col min="23" max="23" width="3.7109375" customWidth="1"/>
    <col min="24" max="24" width="4.5703125" customWidth="1"/>
    <col min="25" max="25" width="7.85546875" customWidth="1"/>
  </cols>
  <sheetData>
    <row r="1" spans="2:25" ht="16.5" thickTop="1" thickBot="1">
      <c r="X1" s="510" t="s">
        <v>3</v>
      </c>
      <c r="Y1" s="511"/>
    </row>
    <row r="2" spans="2:25" ht="15.75" thickTop="1"/>
    <row r="4" spans="2:25" ht="15.75">
      <c r="B4" s="52"/>
      <c r="C4" s="52"/>
      <c r="D4" s="52"/>
      <c r="E4" s="52"/>
      <c r="F4" s="52"/>
      <c r="G4" s="24"/>
      <c r="H4" s="24"/>
      <c r="I4" s="24"/>
      <c r="J4" s="24"/>
      <c r="K4" s="24"/>
      <c r="L4" s="24"/>
      <c r="M4" s="24"/>
      <c r="N4" s="24"/>
      <c r="O4" s="24"/>
    </row>
    <row r="5" spans="2:25" ht="27" customHeight="1">
      <c r="B5" s="503" t="s">
        <v>955</v>
      </c>
      <c r="C5" s="503"/>
      <c r="D5" s="503"/>
      <c r="E5" s="503"/>
      <c r="F5" s="503"/>
      <c r="G5" s="503"/>
      <c r="H5" s="503"/>
      <c r="I5" s="503"/>
      <c r="J5" s="503"/>
      <c r="K5" s="503"/>
      <c r="L5" s="503"/>
      <c r="M5" s="503"/>
      <c r="N5" s="503"/>
      <c r="O5" s="503"/>
      <c r="P5" s="503"/>
      <c r="Q5" s="503"/>
      <c r="R5" s="503"/>
      <c r="S5" s="503"/>
      <c r="T5" s="503"/>
      <c r="U5" s="503"/>
      <c r="V5" s="503"/>
      <c r="W5" s="503"/>
      <c r="X5" s="503"/>
      <c r="Y5" s="503"/>
    </row>
    <row r="6" spans="2:25" ht="15.75">
      <c r="B6" s="52"/>
      <c r="C6" s="52"/>
      <c r="D6" s="52"/>
      <c r="E6" s="52"/>
      <c r="F6" s="52"/>
      <c r="G6" s="24"/>
      <c r="H6" s="24"/>
      <c r="I6" s="24"/>
      <c r="J6" s="24"/>
      <c r="K6" s="24"/>
      <c r="L6" s="24"/>
      <c r="M6" s="24"/>
      <c r="N6" s="24"/>
      <c r="O6" s="24"/>
    </row>
    <row r="7" spans="2:25" ht="27.75" customHeight="1">
      <c r="B7" s="52"/>
      <c r="C7" s="509" t="s">
        <v>467</v>
      </c>
      <c r="D7" s="509"/>
      <c r="E7" s="509"/>
      <c r="F7" s="509"/>
      <c r="G7" s="509"/>
      <c r="H7" s="509"/>
      <c r="I7" s="509"/>
      <c r="J7" s="509"/>
      <c r="K7" s="509"/>
      <c r="L7" s="509"/>
      <c r="M7" s="509"/>
      <c r="N7" s="92"/>
      <c r="O7" s="497" t="s">
        <v>338</v>
      </c>
      <c r="P7" s="497"/>
      <c r="Q7" s="497"/>
      <c r="R7" s="497"/>
      <c r="S7" s="497"/>
      <c r="T7" s="497"/>
      <c r="U7" s="497"/>
      <c r="V7" s="497"/>
      <c r="W7" s="497"/>
      <c r="X7" s="497"/>
      <c r="Y7" s="497"/>
    </row>
    <row r="8" spans="2:25">
      <c r="C8" s="497" t="s">
        <v>195</v>
      </c>
      <c r="D8" s="497"/>
      <c r="E8" s="497"/>
      <c r="F8" s="497"/>
      <c r="G8" s="497"/>
      <c r="H8" s="20"/>
      <c r="I8" s="497" t="s">
        <v>962</v>
      </c>
      <c r="J8" s="497"/>
      <c r="K8" s="497"/>
      <c r="L8" s="497"/>
      <c r="M8" s="497"/>
      <c r="N8" s="20"/>
      <c r="O8" s="497" t="s">
        <v>195</v>
      </c>
      <c r="P8" s="497"/>
      <c r="Q8" s="497"/>
      <c r="R8" s="497"/>
      <c r="S8" s="497"/>
      <c r="T8" s="20"/>
      <c r="U8" s="497" t="s">
        <v>962</v>
      </c>
      <c r="V8" s="497"/>
      <c r="W8" s="497"/>
      <c r="X8" s="497"/>
      <c r="Y8" s="497"/>
    </row>
    <row r="9" spans="2:25">
      <c r="B9" s="54" t="s">
        <v>207</v>
      </c>
      <c r="C9" s="502" t="s">
        <v>11</v>
      </c>
      <c r="D9" s="502"/>
      <c r="E9" s="74"/>
      <c r="F9" s="506" t="s">
        <v>12</v>
      </c>
      <c r="G9" s="506"/>
      <c r="H9" s="74"/>
      <c r="I9" s="502" t="s">
        <v>11</v>
      </c>
      <c r="J9" s="502"/>
      <c r="K9" s="74"/>
      <c r="L9" s="506" t="s">
        <v>12</v>
      </c>
      <c r="M9" s="506"/>
      <c r="N9" s="74"/>
      <c r="O9" s="502" t="s">
        <v>11</v>
      </c>
      <c r="P9" s="502"/>
      <c r="Q9" s="74"/>
      <c r="R9" s="506" t="s">
        <v>12</v>
      </c>
      <c r="S9" s="506"/>
      <c r="T9" s="74"/>
      <c r="U9" s="502" t="s">
        <v>11</v>
      </c>
      <c r="V9" s="502"/>
      <c r="W9" s="74"/>
      <c r="X9" s="506" t="s">
        <v>12</v>
      </c>
      <c r="Y9" s="506"/>
    </row>
    <row r="10" spans="2:25">
      <c r="B10" s="139" t="s">
        <v>15</v>
      </c>
      <c r="C10" s="55" t="s">
        <v>38</v>
      </c>
      <c r="D10" s="55" t="s">
        <v>51</v>
      </c>
      <c r="E10" s="55"/>
      <c r="F10" s="81" t="s">
        <v>38</v>
      </c>
      <c r="G10" s="81" t="s">
        <v>51</v>
      </c>
      <c r="H10" s="81"/>
      <c r="I10" s="81" t="s">
        <v>38</v>
      </c>
      <c r="J10" s="81" t="s">
        <v>51</v>
      </c>
      <c r="K10" s="81"/>
      <c r="L10" s="81" t="s">
        <v>38</v>
      </c>
      <c r="M10" s="81" t="s">
        <v>51</v>
      </c>
      <c r="N10" s="81"/>
      <c r="O10" s="81" t="s">
        <v>38</v>
      </c>
      <c r="P10" s="81" t="s">
        <v>51</v>
      </c>
      <c r="Q10" s="81"/>
      <c r="R10" s="81" t="s">
        <v>38</v>
      </c>
      <c r="S10" s="81" t="s">
        <v>51</v>
      </c>
      <c r="T10" s="81"/>
      <c r="U10" s="81" t="s">
        <v>38</v>
      </c>
      <c r="V10" s="81" t="s">
        <v>51</v>
      </c>
      <c r="W10" s="81"/>
      <c r="X10" s="81" t="s">
        <v>38</v>
      </c>
      <c r="Y10" s="81" t="s">
        <v>51</v>
      </c>
    </row>
    <row r="11" spans="2:25">
      <c r="B11" s="131" t="s">
        <v>6</v>
      </c>
      <c r="C11" s="198">
        <v>10.9</v>
      </c>
      <c r="D11" s="198" t="s">
        <v>688</v>
      </c>
      <c r="E11" s="198"/>
      <c r="F11" s="125">
        <v>8.4</v>
      </c>
      <c r="G11" s="198" t="s">
        <v>696</v>
      </c>
      <c r="H11" s="198"/>
      <c r="I11" s="198">
        <v>31.5</v>
      </c>
      <c r="J11" s="485" t="s">
        <v>1024</v>
      </c>
      <c r="K11" s="198"/>
      <c r="L11" s="198">
        <v>22.2</v>
      </c>
      <c r="M11" s="198" t="s">
        <v>1015</v>
      </c>
      <c r="N11" s="198"/>
      <c r="O11" s="210">
        <v>5.5</v>
      </c>
      <c r="P11" s="209" t="s">
        <v>705</v>
      </c>
      <c r="Q11" s="209"/>
      <c r="R11" s="210">
        <v>5.7</v>
      </c>
      <c r="S11" s="209" t="s">
        <v>720</v>
      </c>
      <c r="T11" s="209"/>
      <c r="U11" s="209">
        <v>14.7</v>
      </c>
      <c r="V11" s="209" t="s">
        <v>1033</v>
      </c>
      <c r="W11" s="209"/>
      <c r="X11" s="209">
        <v>22.9</v>
      </c>
      <c r="Y11" s="209" t="s">
        <v>1042</v>
      </c>
    </row>
    <row r="12" spans="2:25">
      <c r="B12" s="131" t="s">
        <v>7</v>
      </c>
      <c r="C12" s="198">
        <v>9.5</v>
      </c>
      <c r="D12" s="198" t="s">
        <v>689</v>
      </c>
      <c r="E12" s="198"/>
      <c r="F12" s="125">
        <v>6.7</v>
      </c>
      <c r="G12" s="198" t="s">
        <v>697</v>
      </c>
      <c r="H12" s="198"/>
      <c r="I12" s="198">
        <v>28.2</v>
      </c>
      <c r="J12" s="485" t="s">
        <v>1025</v>
      </c>
      <c r="K12" s="198"/>
      <c r="L12" s="198">
        <v>16.2</v>
      </c>
      <c r="M12" s="198" t="s">
        <v>1016</v>
      </c>
      <c r="N12" s="198"/>
      <c r="O12" s="210">
        <v>7.7</v>
      </c>
      <c r="P12" s="209" t="s">
        <v>706</v>
      </c>
      <c r="Q12" s="209"/>
      <c r="R12" s="210">
        <v>4.9000000000000004</v>
      </c>
      <c r="S12" s="209" t="s">
        <v>713</v>
      </c>
      <c r="T12" s="209"/>
      <c r="U12" s="209">
        <v>21.6</v>
      </c>
      <c r="V12" s="209" t="s">
        <v>1034</v>
      </c>
      <c r="W12" s="209"/>
      <c r="X12" s="209">
        <v>20.100000000000001</v>
      </c>
      <c r="Y12" s="209" t="s">
        <v>1043</v>
      </c>
    </row>
    <row r="13" spans="2:25">
      <c r="B13" s="131" t="s">
        <v>8</v>
      </c>
      <c r="C13" s="198">
        <v>8.5</v>
      </c>
      <c r="D13" s="198" t="s">
        <v>690</v>
      </c>
      <c r="E13" s="198"/>
      <c r="F13" s="125">
        <v>5</v>
      </c>
      <c r="G13" s="198" t="s">
        <v>698</v>
      </c>
      <c r="H13" s="198"/>
      <c r="I13" s="198">
        <v>17.399999999999999</v>
      </c>
      <c r="J13" s="485" t="s">
        <v>1026</v>
      </c>
      <c r="K13" s="198"/>
      <c r="L13" s="198">
        <v>11.6</v>
      </c>
      <c r="M13" s="198" t="s">
        <v>1017</v>
      </c>
      <c r="N13" s="198"/>
      <c r="O13" s="210">
        <v>7.3</v>
      </c>
      <c r="P13" s="209" t="s">
        <v>707</v>
      </c>
      <c r="Q13" s="209"/>
      <c r="R13" s="210">
        <v>7</v>
      </c>
      <c r="S13" s="209" t="s">
        <v>714</v>
      </c>
      <c r="T13" s="209"/>
      <c r="U13" s="209">
        <v>17.5</v>
      </c>
      <c r="V13" s="209" t="s">
        <v>1035</v>
      </c>
      <c r="W13" s="209"/>
      <c r="X13" s="209">
        <v>16.2</v>
      </c>
      <c r="Y13" s="209" t="s">
        <v>1044</v>
      </c>
    </row>
    <row r="14" spans="2:25">
      <c r="B14" s="131" t="s">
        <v>9</v>
      </c>
      <c r="C14" s="198">
        <v>9.8000000000000007</v>
      </c>
      <c r="D14" s="198" t="s">
        <v>691</v>
      </c>
      <c r="E14" s="198"/>
      <c r="F14" s="125">
        <v>3.8</v>
      </c>
      <c r="G14" s="198" t="s">
        <v>703</v>
      </c>
      <c r="H14" s="198"/>
      <c r="I14" s="198">
        <v>10.8</v>
      </c>
      <c r="J14" s="485" t="s">
        <v>1027</v>
      </c>
      <c r="K14" s="198"/>
      <c r="L14" s="198">
        <v>9.1999999999999993</v>
      </c>
      <c r="M14" s="198" t="s">
        <v>1018</v>
      </c>
      <c r="N14" s="198"/>
      <c r="O14" s="210">
        <v>9.3000000000000007</v>
      </c>
      <c r="P14" s="209" t="s">
        <v>722</v>
      </c>
      <c r="Q14" s="209"/>
      <c r="R14" s="210">
        <v>6.4</v>
      </c>
      <c r="S14" s="209" t="s">
        <v>715</v>
      </c>
      <c r="T14" s="209"/>
      <c r="U14" s="209">
        <v>17.5</v>
      </c>
      <c r="V14" s="209" t="s">
        <v>1036</v>
      </c>
      <c r="W14" s="209"/>
      <c r="X14" s="209">
        <v>15.6</v>
      </c>
      <c r="Y14" s="209" t="s">
        <v>1045</v>
      </c>
    </row>
    <row r="15" spans="2:25">
      <c r="B15" s="131" t="s">
        <v>10</v>
      </c>
      <c r="C15" s="198">
        <v>11.1</v>
      </c>
      <c r="D15" s="198" t="s">
        <v>692</v>
      </c>
      <c r="E15" s="198"/>
      <c r="F15" s="125">
        <v>2.9</v>
      </c>
      <c r="G15" s="198" t="s">
        <v>699</v>
      </c>
      <c r="H15" s="198"/>
      <c r="I15" s="198">
        <v>14.8</v>
      </c>
      <c r="J15" s="485" t="s">
        <v>1028</v>
      </c>
      <c r="K15" s="198"/>
      <c r="L15" s="198">
        <v>5.7</v>
      </c>
      <c r="M15" s="198" t="s">
        <v>1019</v>
      </c>
      <c r="N15" s="198"/>
      <c r="O15" s="210">
        <v>7.5</v>
      </c>
      <c r="P15" s="209" t="s">
        <v>708</v>
      </c>
      <c r="Q15" s="209"/>
      <c r="R15" s="210">
        <v>9</v>
      </c>
      <c r="S15" s="209" t="s">
        <v>716</v>
      </c>
      <c r="T15" s="209"/>
      <c r="U15" s="209">
        <v>18.600000000000001</v>
      </c>
      <c r="V15" s="209" t="s">
        <v>1037</v>
      </c>
      <c r="W15" s="209"/>
      <c r="X15" s="209">
        <v>14.7</v>
      </c>
      <c r="Y15" s="209" t="s">
        <v>1046</v>
      </c>
    </row>
    <row r="16" spans="2:25">
      <c r="B16" s="131" t="s">
        <v>13</v>
      </c>
      <c r="C16" s="125">
        <v>6</v>
      </c>
      <c r="D16" s="198" t="s">
        <v>693</v>
      </c>
      <c r="E16" s="198"/>
      <c r="F16" s="125">
        <v>2.1</v>
      </c>
      <c r="G16" s="198" t="s">
        <v>700</v>
      </c>
      <c r="H16" s="198"/>
      <c r="I16" s="198">
        <v>9.9</v>
      </c>
      <c r="J16" s="485" t="s">
        <v>1029</v>
      </c>
      <c r="K16" s="198"/>
      <c r="L16" s="198">
        <v>6.9</v>
      </c>
      <c r="M16" s="198" t="s">
        <v>1020</v>
      </c>
      <c r="N16" s="198"/>
      <c r="O16" s="210">
        <v>9.4</v>
      </c>
      <c r="P16" s="209" t="s">
        <v>709</v>
      </c>
      <c r="Q16" s="209"/>
      <c r="R16" s="210">
        <v>5.3</v>
      </c>
      <c r="S16" s="209" t="s">
        <v>717</v>
      </c>
      <c r="T16" s="209"/>
      <c r="U16" s="209">
        <v>15.5</v>
      </c>
      <c r="V16" s="209" t="s">
        <v>1038</v>
      </c>
      <c r="W16" s="209"/>
      <c r="X16" s="210">
        <v>11</v>
      </c>
      <c r="Y16" s="209" t="s">
        <v>1047</v>
      </c>
    </row>
    <row r="17" spans="2:25" ht="15.75" customHeight="1">
      <c r="B17" s="131" t="s">
        <v>14</v>
      </c>
      <c r="C17" s="198">
        <v>3.5</v>
      </c>
      <c r="D17" s="198" t="s">
        <v>694</v>
      </c>
      <c r="E17" s="198"/>
      <c r="F17" s="125">
        <v>1.9</v>
      </c>
      <c r="G17" s="198" t="s">
        <v>704</v>
      </c>
      <c r="H17" s="198"/>
      <c r="I17" s="198">
        <v>8.3000000000000007</v>
      </c>
      <c r="J17" s="485" t="s">
        <v>1030</v>
      </c>
      <c r="K17" s="198"/>
      <c r="L17" s="198">
        <v>6.6</v>
      </c>
      <c r="M17" s="198" t="s">
        <v>1021</v>
      </c>
      <c r="N17" s="198"/>
      <c r="O17" s="210">
        <v>9.4</v>
      </c>
      <c r="P17" s="209" t="s">
        <v>710</v>
      </c>
      <c r="Q17" s="209"/>
      <c r="R17" s="210">
        <v>2.9</v>
      </c>
      <c r="S17" s="209" t="s">
        <v>721</v>
      </c>
      <c r="T17" s="209"/>
      <c r="U17" s="209">
        <v>6.4</v>
      </c>
      <c r="V17" s="209" t="s">
        <v>1039</v>
      </c>
      <c r="W17" s="209"/>
      <c r="X17" s="209">
        <v>8.8000000000000007</v>
      </c>
      <c r="Y17" s="209" t="s">
        <v>1048</v>
      </c>
    </row>
    <row r="18" spans="2:25">
      <c r="B18" s="131" t="s">
        <v>55</v>
      </c>
      <c r="C18" s="198">
        <v>8.5</v>
      </c>
      <c r="D18" s="198" t="s">
        <v>695</v>
      </c>
      <c r="E18" s="198"/>
      <c r="F18" s="125">
        <v>4.5</v>
      </c>
      <c r="G18" s="198" t="s">
        <v>701</v>
      </c>
      <c r="H18" s="198"/>
      <c r="I18" s="198">
        <v>18.3</v>
      </c>
      <c r="J18" s="485" t="s">
        <v>1031</v>
      </c>
      <c r="K18" s="198"/>
      <c r="L18" s="198">
        <v>11.1</v>
      </c>
      <c r="M18" s="198" t="s">
        <v>1022</v>
      </c>
      <c r="N18" s="198"/>
      <c r="O18" s="210">
        <v>8</v>
      </c>
      <c r="P18" s="209" t="s">
        <v>711</v>
      </c>
      <c r="Q18" s="209"/>
      <c r="R18" s="210">
        <v>6.1</v>
      </c>
      <c r="S18" s="209" t="s">
        <v>718</v>
      </c>
      <c r="T18" s="209"/>
      <c r="U18" s="209">
        <v>16.899999999999999</v>
      </c>
      <c r="V18" s="209" t="s">
        <v>1040</v>
      </c>
      <c r="W18" s="209"/>
      <c r="X18" s="209">
        <v>15.7</v>
      </c>
      <c r="Y18" s="209" t="s">
        <v>1049</v>
      </c>
    </row>
    <row r="19" spans="2:25">
      <c r="B19" s="131" t="s">
        <v>635</v>
      </c>
      <c r="C19" s="198">
        <v>4.5999999999999996</v>
      </c>
      <c r="D19" s="198" t="s">
        <v>653</v>
      </c>
      <c r="E19" s="211"/>
      <c r="F19" s="125">
        <v>1.8</v>
      </c>
      <c r="G19" s="198" t="s">
        <v>702</v>
      </c>
      <c r="H19" s="211"/>
      <c r="I19" s="198">
        <v>9.1</v>
      </c>
      <c r="J19" s="220" t="s">
        <v>1032</v>
      </c>
      <c r="K19" s="129"/>
      <c r="L19" s="198">
        <v>6.5</v>
      </c>
      <c r="M19" s="228" t="s">
        <v>1023</v>
      </c>
      <c r="N19" s="212"/>
      <c r="O19" s="210">
        <v>9.8000000000000007</v>
      </c>
      <c r="P19" s="209" t="s">
        <v>712</v>
      </c>
      <c r="Q19" s="214"/>
      <c r="R19" s="210">
        <v>4.5</v>
      </c>
      <c r="S19" s="209" t="s">
        <v>719</v>
      </c>
      <c r="T19" s="214"/>
      <c r="U19" s="209">
        <v>11.8</v>
      </c>
      <c r="V19" s="210" t="s">
        <v>1041</v>
      </c>
      <c r="W19" s="210"/>
      <c r="X19" s="209">
        <v>9.6999999999999993</v>
      </c>
      <c r="Y19" s="228" t="s">
        <v>1050</v>
      </c>
    </row>
    <row r="20" spans="2:25">
      <c r="B20" s="131"/>
      <c r="C20" s="129"/>
      <c r="D20" s="211"/>
      <c r="E20" s="211"/>
      <c r="F20" s="211"/>
      <c r="G20" s="211"/>
      <c r="H20" s="211"/>
      <c r="I20" s="129"/>
      <c r="J20" s="129"/>
      <c r="K20" s="129"/>
      <c r="L20" s="129"/>
      <c r="M20" s="212"/>
      <c r="N20" s="212"/>
      <c r="O20" s="213"/>
      <c r="P20" s="214"/>
      <c r="Q20" s="214"/>
      <c r="R20" s="214"/>
      <c r="S20" s="214"/>
      <c r="T20" s="214"/>
      <c r="U20" s="213"/>
      <c r="V20" s="213"/>
      <c r="W20" s="213"/>
      <c r="X20" s="213"/>
      <c r="Y20" s="212"/>
    </row>
    <row r="21" spans="2:25">
      <c r="B21" s="131"/>
      <c r="C21" s="129"/>
      <c r="D21" s="211"/>
      <c r="E21" s="211"/>
      <c r="F21" s="211"/>
      <c r="G21" s="211"/>
      <c r="H21" s="211"/>
      <c r="I21" s="129"/>
      <c r="J21" s="129"/>
      <c r="K21" s="129"/>
      <c r="L21" s="129"/>
      <c r="M21" s="212"/>
      <c r="N21" s="212"/>
      <c r="O21" s="213"/>
      <c r="P21" s="214"/>
      <c r="Q21" s="214"/>
      <c r="R21" s="214"/>
      <c r="S21" s="214"/>
      <c r="T21" s="214"/>
      <c r="U21" s="213"/>
      <c r="V21" s="213"/>
      <c r="W21" s="213"/>
      <c r="X21" s="213"/>
      <c r="Y21" s="212"/>
    </row>
    <row r="22" spans="2:25">
      <c r="B22" s="130" t="s">
        <v>956</v>
      </c>
      <c r="C22" s="212"/>
      <c r="D22" s="212"/>
      <c r="E22" s="212"/>
      <c r="F22" s="212"/>
      <c r="G22" s="212"/>
      <c r="H22" s="212"/>
      <c r="I22" s="129"/>
      <c r="J22" s="129"/>
      <c r="K22" s="129"/>
      <c r="L22" s="129"/>
      <c r="M22" s="212"/>
      <c r="N22" s="212"/>
      <c r="O22" s="212"/>
      <c r="P22" s="212"/>
      <c r="Q22" s="212"/>
      <c r="R22" s="212"/>
      <c r="S22" s="212"/>
      <c r="T22" s="212"/>
      <c r="U22" s="129"/>
      <c r="V22" s="129"/>
      <c r="W22" s="129"/>
      <c r="X22" s="129"/>
      <c r="Y22" s="212"/>
    </row>
    <row r="23" spans="2:25">
      <c r="B23" s="131" t="s">
        <v>52</v>
      </c>
      <c r="C23" s="125">
        <v>10.8</v>
      </c>
      <c r="D23" s="198" t="s">
        <v>61</v>
      </c>
      <c r="E23" s="198"/>
      <c r="F23" s="198">
        <v>5.9</v>
      </c>
      <c r="G23" s="198" t="s">
        <v>64</v>
      </c>
      <c r="H23" s="198"/>
      <c r="I23" s="125">
        <v>32.799999999999997</v>
      </c>
      <c r="J23" s="125" t="s">
        <v>313</v>
      </c>
      <c r="K23" s="125"/>
      <c r="L23" s="125">
        <v>23.2</v>
      </c>
      <c r="M23" s="125" t="s">
        <v>316</v>
      </c>
      <c r="N23" s="125"/>
      <c r="O23" s="210">
        <v>5.0999999999999996</v>
      </c>
      <c r="P23" s="209" t="s">
        <v>358</v>
      </c>
      <c r="Q23" s="209"/>
      <c r="R23" s="210">
        <v>4</v>
      </c>
      <c r="S23" s="209" t="s">
        <v>361</v>
      </c>
      <c r="T23" s="209"/>
      <c r="U23" s="210">
        <v>14.4</v>
      </c>
      <c r="V23" s="210" t="s">
        <v>364</v>
      </c>
      <c r="W23" s="210"/>
      <c r="X23" s="210">
        <v>12.1</v>
      </c>
      <c r="Y23" s="210" t="s">
        <v>367</v>
      </c>
    </row>
    <row r="24" spans="2:25">
      <c r="B24" s="131" t="s">
        <v>53</v>
      </c>
      <c r="C24" s="125">
        <v>13.9</v>
      </c>
      <c r="D24" s="125" t="s">
        <v>62</v>
      </c>
      <c r="E24" s="125"/>
      <c r="F24" s="125">
        <v>8.1999999999999993</v>
      </c>
      <c r="G24" s="125" t="s">
        <v>65</v>
      </c>
      <c r="H24" s="125"/>
      <c r="I24" s="125">
        <v>35.6</v>
      </c>
      <c r="J24" s="125" t="s">
        <v>314</v>
      </c>
      <c r="K24" s="125"/>
      <c r="L24" s="125">
        <v>22.4</v>
      </c>
      <c r="M24" s="125" t="s">
        <v>317</v>
      </c>
      <c r="N24" s="125"/>
      <c r="O24" s="210">
        <v>6.1</v>
      </c>
      <c r="P24" s="210" t="s">
        <v>359</v>
      </c>
      <c r="Q24" s="210"/>
      <c r="R24" s="210">
        <v>4.5999999999999996</v>
      </c>
      <c r="S24" s="210" t="s">
        <v>362</v>
      </c>
      <c r="T24" s="210"/>
      <c r="U24" s="210">
        <v>12.8</v>
      </c>
      <c r="V24" s="210" t="s">
        <v>365</v>
      </c>
      <c r="W24" s="210"/>
      <c r="X24" s="210">
        <v>12.2</v>
      </c>
      <c r="Y24" s="210" t="s">
        <v>442</v>
      </c>
    </row>
    <row r="25" spans="2:25">
      <c r="B25" s="131" t="s">
        <v>54</v>
      </c>
      <c r="C25" s="125">
        <v>18.100000000000001</v>
      </c>
      <c r="D25" s="125" t="s">
        <v>63</v>
      </c>
      <c r="E25" s="125"/>
      <c r="F25" s="125">
        <v>10.3</v>
      </c>
      <c r="G25" s="125" t="s">
        <v>66</v>
      </c>
      <c r="H25" s="125"/>
      <c r="I25" s="125">
        <v>33.1</v>
      </c>
      <c r="J25" s="125" t="s">
        <v>315</v>
      </c>
      <c r="K25" s="125"/>
      <c r="L25" s="125">
        <v>22.2</v>
      </c>
      <c r="M25" s="125" t="s">
        <v>318</v>
      </c>
      <c r="N25" s="125"/>
      <c r="O25" s="210">
        <v>6.2</v>
      </c>
      <c r="P25" s="210" t="s">
        <v>360</v>
      </c>
      <c r="Q25" s="210"/>
      <c r="R25" s="210">
        <v>5.4</v>
      </c>
      <c r="S25" s="210" t="s">
        <v>363</v>
      </c>
      <c r="T25" s="210"/>
      <c r="U25" s="210">
        <v>13.2</v>
      </c>
      <c r="V25" s="210" t="s">
        <v>366</v>
      </c>
      <c r="W25" s="210"/>
      <c r="X25" s="210">
        <v>9.8000000000000007</v>
      </c>
      <c r="Y25" s="210" t="s">
        <v>368</v>
      </c>
    </row>
    <row r="26" spans="2:25">
      <c r="B26" s="130"/>
      <c r="C26" s="129"/>
      <c r="D26" s="129"/>
      <c r="E26" s="129"/>
      <c r="F26" s="129"/>
      <c r="G26" s="129"/>
      <c r="H26" s="129"/>
      <c r="I26" s="129"/>
      <c r="J26" s="129"/>
      <c r="K26" s="129"/>
      <c r="L26" s="129"/>
      <c r="M26" s="212"/>
      <c r="N26" s="212"/>
      <c r="O26" s="210"/>
      <c r="P26" s="210"/>
      <c r="Q26" s="210"/>
      <c r="R26" s="210"/>
      <c r="S26" s="210"/>
      <c r="T26" s="210"/>
      <c r="U26" s="210"/>
      <c r="V26" s="210"/>
      <c r="W26" s="210"/>
      <c r="X26" s="210"/>
      <c r="Y26" s="215"/>
    </row>
    <row r="27" spans="2:25">
      <c r="B27" s="130" t="s">
        <v>957</v>
      </c>
      <c r="C27" s="129"/>
      <c r="D27" s="129"/>
      <c r="E27" s="129"/>
      <c r="F27" s="129"/>
      <c r="G27" s="129"/>
      <c r="H27" s="129"/>
      <c r="I27" s="129"/>
      <c r="J27" s="129"/>
      <c r="K27" s="129"/>
      <c r="L27" s="129"/>
      <c r="M27" s="212"/>
      <c r="N27" s="212"/>
      <c r="O27" s="210"/>
      <c r="P27" s="210"/>
      <c r="Q27" s="210"/>
      <c r="R27" s="210"/>
      <c r="S27" s="210"/>
      <c r="T27" s="210"/>
      <c r="U27" s="210"/>
      <c r="V27" s="210"/>
      <c r="W27" s="210"/>
      <c r="X27" s="210"/>
      <c r="Y27" s="215"/>
    </row>
    <row r="28" spans="2:25">
      <c r="B28" s="131" t="s">
        <v>463</v>
      </c>
      <c r="C28" s="125">
        <v>17.3</v>
      </c>
      <c r="D28" s="125" t="s">
        <v>67</v>
      </c>
      <c r="E28" s="125"/>
      <c r="F28" s="125">
        <v>12</v>
      </c>
      <c r="G28" s="125" t="s">
        <v>71</v>
      </c>
      <c r="H28" s="125"/>
      <c r="I28" s="125">
        <v>33.1</v>
      </c>
      <c r="J28" s="125" t="s">
        <v>319</v>
      </c>
      <c r="K28" s="125"/>
      <c r="L28" s="125">
        <v>28.1</v>
      </c>
      <c r="M28" s="125" t="s">
        <v>324</v>
      </c>
      <c r="N28" s="125"/>
      <c r="O28" s="210">
        <v>5.9</v>
      </c>
      <c r="P28" s="210" t="s">
        <v>339</v>
      </c>
      <c r="Q28" s="210"/>
      <c r="R28" s="210">
        <v>4.4000000000000004</v>
      </c>
      <c r="S28" s="210" t="s">
        <v>343</v>
      </c>
      <c r="T28" s="210"/>
      <c r="U28" s="210">
        <v>10.199999999999999</v>
      </c>
      <c r="V28" s="210" t="s">
        <v>348</v>
      </c>
      <c r="W28" s="210"/>
      <c r="X28" s="210">
        <v>11.7</v>
      </c>
      <c r="Y28" s="210" t="s">
        <v>353</v>
      </c>
    </row>
    <row r="29" spans="2:25">
      <c r="B29" s="131">
        <v>2</v>
      </c>
      <c r="C29" s="125">
        <v>15.4</v>
      </c>
      <c r="D29" s="125" t="s">
        <v>68</v>
      </c>
      <c r="E29" s="125"/>
      <c r="F29" s="125">
        <v>8.6</v>
      </c>
      <c r="G29" s="125" t="s">
        <v>72</v>
      </c>
      <c r="H29" s="125"/>
      <c r="I29" s="125">
        <v>34.5</v>
      </c>
      <c r="J29" s="125" t="s">
        <v>320</v>
      </c>
      <c r="K29" s="125"/>
      <c r="L29" s="125">
        <v>26.1</v>
      </c>
      <c r="M29" s="125" t="s">
        <v>325</v>
      </c>
      <c r="N29" s="125"/>
      <c r="O29" s="210">
        <v>5.9</v>
      </c>
      <c r="P29" s="210" t="s">
        <v>340</v>
      </c>
      <c r="Q29" s="210"/>
      <c r="R29" s="210">
        <v>4.7</v>
      </c>
      <c r="S29" s="210" t="s">
        <v>344</v>
      </c>
      <c r="T29" s="210"/>
      <c r="U29" s="210">
        <v>15.1</v>
      </c>
      <c r="V29" s="210" t="s">
        <v>349</v>
      </c>
      <c r="W29" s="210"/>
      <c r="X29" s="210">
        <v>13.2</v>
      </c>
      <c r="Y29" s="210" t="s">
        <v>354</v>
      </c>
    </row>
    <row r="30" spans="2:25">
      <c r="B30" s="131">
        <v>3</v>
      </c>
      <c r="C30" s="125">
        <v>12.1</v>
      </c>
      <c r="D30" s="125" t="s">
        <v>60</v>
      </c>
      <c r="E30" s="125"/>
      <c r="F30" s="125">
        <v>5.2</v>
      </c>
      <c r="G30" s="125" t="s">
        <v>73</v>
      </c>
      <c r="H30" s="125"/>
      <c r="I30" s="125">
        <v>33.9</v>
      </c>
      <c r="J30" s="125" t="s">
        <v>321</v>
      </c>
      <c r="K30" s="125"/>
      <c r="L30" s="125">
        <v>24.8</v>
      </c>
      <c r="M30" s="125" t="s">
        <v>326</v>
      </c>
      <c r="N30" s="125"/>
      <c r="O30" s="210">
        <v>5.5</v>
      </c>
      <c r="P30" s="210" t="s">
        <v>74</v>
      </c>
      <c r="Q30" s="210"/>
      <c r="R30" s="210">
        <v>4.2</v>
      </c>
      <c r="S30" s="210" t="s">
        <v>345</v>
      </c>
      <c r="T30" s="210"/>
      <c r="U30" s="210">
        <v>14</v>
      </c>
      <c r="V30" s="210" t="s">
        <v>350</v>
      </c>
      <c r="W30" s="210"/>
      <c r="X30" s="210">
        <v>11.7</v>
      </c>
      <c r="Y30" s="210" t="s">
        <v>355</v>
      </c>
    </row>
    <row r="31" spans="2:25">
      <c r="B31" s="131">
        <v>4</v>
      </c>
      <c r="C31" s="125">
        <v>10.4</v>
      </c>
      <c r="D31" s="125" t="s">
        <v>69</v>
      </c>
      <c r="E31" s="125"/>
      <c r="F31" s="125">
        <v>5.5</v>
      </c>
      <c r="G31" s="125" t="s">
        <v>74</v>
      </c>
      <c r="H31" s="125"/>
      <c r="I31" s="125">
        <v>33.700000000000003</v>
      </c>
      <c r="J31" s="125" t="s">
        <v>322</v>
      </c>
      <c r="K31" s="125"/>
      <c r="L31" s="125">
        <v>18.899999999999999</v>
      </c>
      <c r="M31" s="125" t="s">
        <v>327</v>
      </c>
      <c r="N31" s="125"/>
      <c r="O31" s="210">
        <v>5.3</v>
      </c>
      <c r="P31" s="210" t="s">
        <v>341</v>
      </c>
      <c r="Q31" s="210"/>
      <c r="R31" s="210">
        <v>4.4000000000000004</v>
      </c>
      <c r="S31" s="210" t="s">
        <v>346</v>
      </c>
      <c r="T31" s="210"/>
      <c r="U31" s="210">
        <v>13.3</v>
      </c>
      <c r="V31" s="210" t="s">
        <v>351</v>
      </c>
      <c r="W31" s="210"/>
      <c r="X31" s="210">
        <v>12.4</v>
      </c>
      <c r="Y31" s="210" t="s">
        <v>356</v>
      </c>
    </row>
    <row r="32" spans="2:25">
      <c r="B32" s="133" t="s">
        <v>464</v>
      </c>
      <c r="C32" s="127">
        <v>6.1</v>
      </c>
      <c r="D32" s="127" t="s">
        <v>70</v>
      </c>
      <c r="E32" s="127"/>
      <c r="F32" s="127">
        <v>2.4</v>
      </c>
      <c r="G32" s="127" t="s">
        <v>75</v>
      </c>
      <c r="H32" s="127"/>
      <c r="I32" s="127">
        <v>31.1</v>
      </c>
      <c r="J32" s="127" t="s">
        <v>323</v>
      </c>
      <c r="K32" s="127"/>
      <c r="L32" s="127">
        <v>18.5</v>
      </c>
      <c r="M32" s="127" t="s">
        <v>328</v>
      </c>
      <c r="N32" s="127"/>
      <c r="O32" s="216">
        <v>4.8</v>
      </c>
      <c r="P32" s="216" t="s">
        <v>342</v>
      </c>
      <c r="Q32" s="216"/>
      <c r="R32" s="216">
        <v>3.2</v>
      </c>
      <c r="S32" s="216" t="s">
        <v>347</v>
      </c>
      <c r="T32" s="216"/>
      <c r="U32" s="216">
        <v>17</v>
      </c>
      <c r="V32" s="216" t="s">
        <v>352</v>
      </c>
      <c r="W32" s="216"/>
      <c r="X32" s="216">
        <v>11.1</v>
      </c>
      <c r="Y32" s="216" t="s">
        <v>357</v>
      </c>
    </row>
    <row r="33" spans="2:25" ht="15" customHeight="1">
      <c r="B33" s="70" t="s">
        <v>468</v>
      </c>
      <c r="C33" s="19"/>
      <c r="D33" s="19"/>
      <c r="E33" s="19"/>
      <c r="F33" s="19"/>
      <c r="G33" s="19"/>
      <c r="H33" s="19"/>
      <c r="I33" s="19"/>
      <c r="J33" s="19"/>
      <c r="K33" s="19"/>
      <c r="L33" s="19"/>
      <c r="M33" s="19"/>
      <c r="N33" s="19"/>
      <c r="O33" s="19"/>
      <c r="P33" s="19"/>
      <c r="Q33" s="19"/>
      <c r="R33" s="19"/>
      <c r="S33" s="19"/>
      <c r="T33" s="19"/>
      <c r="U33" s="19"/>
      <c r="V33" s="19"/>
      <c r="W33" s="19"/>
      <c r="X33" s="19"/>
      <c r="Y33" s="19"/>
    </row>
    <row r="34" spans="2:25" ht="15" customHeight="1">
      <c r="B34" s="64" t="s">
        <v>209</v>
      </c>
      <c r="C34" s="19"/>
      <c r="D34" s="19"/>
      <c r="E34" s="19"/>
      <c r="F34" s="19"/>
      <c r="G34" s="19"/>
      <c r="H34" s="19"/>
      <c r="I34" s="19"/>
      <c r="J34" s="19"/>
      <c r="K34" s="19"/>
      <c r="L34" s="19"/>
      <c r="M34" s="19"/>
      <c r="N34" s="19"/>
      <c r="O34" s="19"/>
      <c r="P34" s="19"/>
      <c r="Q34" s="19"/>
      <c r="R34" s="19"/>
      <c r="S34" s="19"/>
      <c r="T34" s="19"/>
      <c r="U34" s="19"/>
      <c r="V34" s="19"/>
      <c r="W34" s="19"/>
      <c r="X34" s="19"/>
      <c r="Y34" s="19"/>
    </row>
    <row r="35" spans="2:25" ht="15" customHeight="1">
      <c r="B35" s="70" t="s">
        <v>958</v>
      </c>
      <c r="C35" s="19"/>
      <c r="D35" s="19"/>
      <c r="E35" s="19"/>
      <c r="F35" s="19"/>
      <c r="G35" s="19"/>
      <c r="H35" s="19"/>
      <c r="I35" s="19"/>
      <c r="J35" s="19"/>
      <c r="K35" s="19"/>
      <c r="L35" s="19"/>
      <c r="M35" s="19"/>
      <c r="N35" s="19"/>
      <c r="O35" s="19"/>
      <c r="P35" s="19"/>
      <c r="Q35" s="19"/>
      <c r="R35" s="19"/>
      <c r="S35" s="19"/>
      <c r="T35" s="19"/>
      <c r="U35" s="19"/>
      <c r="V35" s="19"/>
      <c r="W35" s="19"/>
      <c r="X35" s="19"/>
      <c r="Y35" s="19"/>
    </row>
    <row r="36" spans="2:25" ht="15" customHeight="1">
      <c r="B36" s="237" t="s">
        <v>39</v>
      </c>
      <c r="C36" s="19"/>
      <c r="D36" s="19"/>
      <c r="E36" s="19"/>
      <c r="F36" s="19"/>
      <c r="G36" s="19"/>
      <c r="H36" s="19"/>
      <c r="I36" s="19"/>
      <c r="J36" s="19"/>
      <c r="K36" s="19"/>
      <c r="L36" s="19"/>
      <c r="M36" s="19"/>
      <c r="N36" s="19"/>
      <c r="O36" s="19"/>
      <c r="P36" s="19"/>
      <c r="Q36" s="19"/>
      <c r="R36" s="19"/>
      <c r="S36" s="19"/>
      <c r="T36" s="19"/>
      <c r="U36" s="19"/>
      <c r="V36" s="19"/>
      <c r="W36" s="19"/>
      <c r="X36" s="19"/>
      <c r="Y36" s="19"/>
    </row>
    <row r="37" spans="2:25" ht="15" customHeight="1">
      <c r="B37" s="64" t="s">
        <v>48</v>
      </c>
      <c r="C37" s="19"/>
      <c r="D37" s="19"/>
      <c r="E37" s="19"/>
      <c r="F37" s="19"/>
      <c r="G37" s="19"/>
      <c r="H37" s="19"/>
      <c r="I37" s="19"/>
      <c r="J37" s="19"/>
      <c r="K37" s="19"/>
      <c r="L37" s="19"/>
      <c r="M37" s="19"/>
      <c r="N37" s="19"/>
      <c r="O37" s="19"/>
      <c r="P37" s="19"/>
      <c r="Q37" s="19"/>
      <c r="R37" s="19"/>
      <c r="S37" s="19"/>
      <c r="T37" s="19"/>
      <c r="U37" s="19"/>
      <c r="V37" s="19"/>
      <c r="W37" s="19"/>
      <c r="X37" s="19"/>
      <c r="Y37" s="19"/>
    </row>
    <row r="38" spans="2:25" ht="24" customHeight="1">
      <c r="B38" s="508" t="s">
        <v>465</v>
      </c>
      <c r="C38" s="508"/>
      <c r="D38" s="508"/>
      <c r="E38" s="508"/>
      <c r="F38" s="508"/>
      <c r="G38" s="508"/>
      <c r="H38" s="508"/>
      <c r="I38" s="508"/>
      <c r="J38" s="508"/>
      <c r="K38" s="508"/>
      <c r="L38" s="508"/>
      <c r="M38" s="508"/>
      <c r="N38" s="508"/>
      <c r="O38" s="508"/>
      <c r="P38" s="508"/>
      <c r="Q38" s="508"/>
      <c r="R38" s="508"/>
      <c r="S38" s="508"/>
      <c r="T38" s="508"/>
      <c r="U38" s="508"/>
      <c r="V38" s="508"/>
      <c r="W38" s="508"/>
      <c r="X38" s="508"/>
      <c r="Y38" s="508"/>
    </row>
    <row r="39" spans="2:25" ht="24" customHeight="1">
      <c r="B39" s="508" t="s">
        <v>461</v>
      </c>
      <c r="C39" s="508"/>
      <c r="D39" s="508"/>
      <c r="E39" s="508"/>
      <c r="F39" s="508"/>
      <c r="G39" s="508"/>
      <c r="H39" s="508"/>
      <c r="I39" s="508"/>
      <c r="J39" s="508"/>
      <c r="K39" s="508"/>
      <c r="L39" s="508"/>
      <c r="M39" s="508"/>
      <c r="N39" s="508"/>
      <c r="O39" s="508"/>
      <c r="P39" s="508"/>
      <c r="Q39" s="508"/>
      <c r="R39" s="508"/>
      <c r="S39" s="508"/>
      <c r="T39" s="508"/>
      <c r="U39" s="508"/>
      <c r="V39" s="508"/>
      <c r="W39" s="508"/>
      <c r="X39" s="508"/>
      <c r="Y39" s="508"/>
    </row>
    <row r="40" spans="2:25">
      <c r="B40" s="500" t="s">
        <v>369</v>
      </c>
      <c r="C40" s="500"/>
      <c r="D40" s="500"/>
      <c r="E40" s="500"/>
      <c r="F40" s="500"/>
      <c r="G40" s="500"/>
      <c r="H40" s="500"/>
      <c r="I40" s="500"/>
      <c r="J40" s="500"/>
      <c r="K40" s="500"/>
      <c r="L40" s="500"/>
      <c r="M40" s="500"/>
      <c r="N40" s="500"/>
      <c r="O40" s="500"/>
      <c r="P40" s="500"/>
      <c r="Q40" s="500"/>
      <c r="R40" s="500"/>
      <c r="S40" s="500"/>
      <c r="T40" s="500"/>
      <c r="U40" s="500"/>
      <c r="V40" s="500"/>
      <c r="W40" s="500"/>
      <c r="X40" s="500"/>
      <c r="Y40" s="500"/>
    </row>
    <row r="41" spans="2:25">
      <c r="B41" s="500" t="s">
        <v>370</v>
      </c>
      <c r="C41" s="500"/>
      <c r="D41" s="500"/>
      <c r="E41" s="500"/>
      <c r="F41" s="500"/>
      <c r="G41" s="500"/>
      <c r="H41" s="500"/>
      <c r="I41" s="500"/>
      <c r="J41" s="500"/>
      <c r="K41" s="500"/>
      <c r="L41" s="500"/>
      <c r="M41" s="500"/>
      <c r="N41" s="500"/>
      <c r="O41" s="500"/>
      <c r="P41" s="500"/>
      <c r="Q41" s="500"/>
      <c r="R41" s="500"/>
      <c r="S41" s="500"/>
      <c r="T41" s="500"/>
      <c r="U41" s="500"/>
      <c r="V41" s="500"/>
      <c r="W41" s="500"/>
      <c r="X41" s="19"/>
      <c r="Y41" s="19"/>
    </row>
    <row r="42" spans="2:25" ht="15" customHeight="1">
      <c r="B42" s="104" t="s">
        <v>371</v>
      </c>
      <c r="C42" s="19"/>
      <c r="D42" s="19"/>
      <c r="E42" s="19"/>
      <c r="F42" s="19"/>
      <c r="G42" s="19"/>
      <c r="H42" s="19"/>
      <c r="I42" s="19"/>
      <c r="J42" s="19"/>
      <c r="K42" s="19"/>
      <c r="L42" s="19"/>
      <c r="M42" s="19"/>
      <c r="N42" s="19"/>
      <c r="O42" s="19"/>
      <c r="P42" s="19"/>
      <c r="Q42" s="19"/>
      <c r="R42" s="19"/>
      <c r="S42" s="19"/>
      <c r="T42" s="19"/>
      <c r="U42" s="19"/>
      <c r="V42" s="19"/>
      <c r="W42" s="19"/>
      <c r="X42" s="19"/>
      <c r="Y42" s="19"/>
    </row>
    <row r="43" spans="2:25">
      <c r="B43" s="343" t="s">
        <v>593</v>
      </c>
      <c r="C43" s="19"/>
      <c r="D43" s="19"/>
      <c r="E43" s="19"/>
      <c r="F43" s="19"/>
      <c r="G43" s="19"/>
      <c r="H43" s="19"/>
      <c r="I43" s="19"/>
      <c r="J43" s="19"/>
      <c r="K43" s="19"/>
      <c r="L43" s="19"/>
      <c r="M43" s="19"/>
      <c r="N43" s="19"/>
      <c r="O43" s="19"/>
      <c r="P43" s="19"/>
      <c r="Q43" s="19"/>
      <c r="R43" s="19"/>
      <c r="S43" s="19"/>
      <c r="T43" s="19"/>
      <c r="U43" s="19"/>
      <c r="V43" s="19"/>
      <c r="W43" s="19"/>
      <c r="X43" s="19"/>
      <c r="Y43" s="19"/>
    </row>
    <row r="44" spans="2:25">
      <c r="B44" s="42" t="s">
        <v>1083</v>
      </c>
      <c r="C44" s="63"/>
      <c r="D44" s="63"/>
      <c r="E44" s="63"/>
      <c r="F44" s="63"/>
      <c r="G44" s="63"/>
      <c r="H44" s="63"/>
      <c r="I44" s="192"/>
      <c r="J44" s="192"/>
      <c r="K44" s="192"/>
      <c r="L44" s="192"/>
      <c r="M44" s="192"/>
      <c r="N44" s="192"/>
      <c r="O44" s="192"/>
      <c r="P44" s="192"/>
      <c r="Q44" s="192"/>
      <c r="R44" s="192"/>
      <c r="S44" s="192"/>
      <c r="T44" s="192"/>
      <c r="U44" s="192"/>
      <c r="V44" s="192"/>
    </row>
    <row r="45" spans="2:25">
      <c r="B45" s="42" t="s">
        <v>1084</v>
      </c>
      <c r="C45" s="42"/>
      <c r="D45" s="42"/>
      <c r="E45" s="42"/>
      <c r="F45" s="42"/>
      <c r="G45" s="42"/>
      <c r="H45" s="42"/>
      <c r="I45" s="42"/>
      <c r="J45" s="42"/>
      <c r="K45" s="42"/>
      <c r="L45" s="42"/>
      <c r="M45" s="42"/>
      <c r="N45" s="42"/>
      <c r="O45" s="399"/>
      <c r="P45" s="192"/>
    </row>
    <row r="46" spans="2:25">
      <c r="B46" s="89"/>
      <c r="C46" s="35"/>
      <c r="D46" s="35"/>
      <c r="E46" s="35"/>
      <c r="F46" s="35"/>
      <c r="G46" s="35"/>
      <c r="H46" s="35"/>
      <c r="I46" s="35"/>
      <c r="J46" s="35"/>
      <c r="K46" s="35"/>
      <c r="L46" s="35"/>
      <c r="M46" s="35"/>
      <c r="N46" s="35"/>
      <c r="O46" s="35"/>
    </row>
    <row r="47" spans="2:25">
      <c r="B47" s="35"/>
      <c r="C47" s="35"/>
      <c r="D47" s="35"/>
      <c r="E47" s="35"/>
      <c r="F47" s="35"/>
      <c r="G47" s="35"/>
      <c r="H47" s="35"/>
      <c r="I47" s="35"/>
      <c r="J47" s="35"/>
      <c r="K47" s="35"/>
      <c r="L47" s="35"/>
      <c r="M47" s="35"/>
      <c r="N47" s="35"/>
      <c r="O47" s="35"/>
    </row>
    <row r="48" spans="2:25">
      <c r="B48" s="57"/>
    </row>
    <row r="49" spans="2:2">
      <c r="B49" s="57"/>
    </row>
    <row r="50" spans="2:2">
      <c r="B50" s="57"/>
    </row>
    <row r="51" spans="2:2">
      <c r="B51" s="57"/>
    </row>
  </sheetData>
  <mergeCells count="20">
    <mergeCell ref="B5:Y5"/>
    <mergeCell ref="X9:Y9"/>
    <mergeCell ref="O8:S8"/>
    <mergeCell ref="B40:Y40"/>
    <mergeCell ref="X1:Y1"/>
    <mergeCell ref="B41:W41"/>
    <mergeCell ref="O7:Y7"/>
    <mergeCell ref="C9:D9"/>
    <mergeCell ref="F9:G9"/>
    <mergeCell ref="B38:Y38"/>
    <mergeCell ref="B39:Y39"/>
    <mergeCell ref="C8:G8"/>
    <mergeCell ref="I8:M8"/>
    <mergeCell ref="I9:J9"/>
    <mergeCell ref="L9:M9"/>
    <mergeCell ref="C7:M7"/>
    <mergeCell ref="U8:Y8"/>
    <mergeCell ref="O9:P9"/>
    <mergeCell ref="R9:S9"/>
    <mergeCell ref="U9:V9"/>
  </mergeCells>
  <hyperlinks>
    <hyperlink ref="X1:Y1" location="Contents!A1" display="Return to contents" xr:uid="{5742B8E9-8413-40D2-AE68-02037400CB94}"/>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S40"/>
  <sheetViews>
    <sheetView showGridLines="0" zoomScaleNormal="100" workbookViewId="0">
      <selection activeCell="O1" sqref="O1:P1"/>
    </sheetView>
  </sheetViews>
  <sheetFormatPr defaultRowHeight="15"/>
  <cols>
    <col min="2" max="2" width="25.42578125" customWidth="1"/>
    <col min="3" max="3" width="7.85546875" customWidth="1"/>
    <col min="4" max="4" width="11" customWidth="1"/>
    <col min="5" max="5" width="4.7109375" customWidth="1"/>
    <col min="6" max="6" width="7.28515625" customWidth="1"/>
    <col min="7" max="7" width="9.5703125" customWidth="1"/>
    <col min="8" max="8" width="4.5703125" customWidth="1"/>
    <col min="11" max="11" width="4.28515625" customWidth="1"/>
    <col min="14" max="14" width="4" customWidth="1"/>
    <col min="17" max="17" width="3.85546875" customWidth="1"/>
  </cols>
  <sheetData>
    <row r="1" spans="2:19" ht="16.5" thickTop="1" thickBot="1">
      <c r="D1" s="146"/>
      <c r="E1" s="146"/>
      <c r="O1" s="510" t="s">
        <v>3</v>
      </c>
      <c r="P1" s="511"/>
    </row>
    <row r="2" spans="2:19" ht="15.75" thickTop="1"/>
    <row r="6" spans="2:19" ht="19.5" customHeight="1">
      <c r="B6" s="503" t="s">
        <v>736</v>
      </c>
      <c r="C6" s="503"/>
      <c r="D6" s="503"/>
      <c r="E6" s="503"/>
      <c r="F6" s="503"/>
      <c r="G6" s="503"/>
      <c r="H6" s="503"/>
      <c r="I6" s="503"/>
      <c r="J6" s="503"/>
      <c r="K6" s="503"/>
      <c r="L6" s="503"/>
      <c r="M6" s="503"/>
      <c r="N6" s="503"/>
      <c r="O6" s="503"/>
      <c r="P6" s="503"/>
      <c r="Q6" s="503"/>
      <c r="R6" s="503"/>
      <c r="S6" s="503"/>
    </row>
    <row r="7" spans="2:19">
      <c r="B7" s="347"/>
      <c r="C7" s="512" t="s">
        <v>11</v>
      </c>
      <c r="D7" s="512"/>
      <c r="E7" s="512"/>
      <c r="F7" s="512"/>
      <c r="G7" s="512"/>
      <c r="H7" s="512"/>
      <c r="I7" s="512"/>
      <c r="J7" s="512"/>
      <c r="K7" s="449"/>
      <c r="L7" s="512" t="s">
        <v>12</v>
      </c>
      <c r="M7" s="512"/>
      <c r="N7" s="512"/>
      <c r="O7" s="512"/>
      <c r="P7" s="512"/>
      <c r="Q7" s="512"/>
      <c r="R7" s="512"/>
      <c r="S7" s="512"/>
    </row>
    <row r="8" spans="2:19" ht="26.25" customHeight="1">
      <c r="B8" s="413"/>
      <c r="C8" s="513" t="s">
        <v>729</v>
      </c>
      <c r="D8" s="513"/>
      <c r="E8" s="414"/>
      <c r="F8" s="514" t="s">
        <v>190</v>
      </c>
      <c r="G8" s="514"/>
      <c r="H8" s="415"/>
      <c r="I8" s="515" t="s">
        <v>210</v>
      </c>
      <c r="J8" s="515"/>
      <c r="K8" s="416"/>
      <c r="L8" s="513" t="s">
        <v>729</v>
      </c>
      <c r="M8" s="513"/>
      <c r="N8" s="414"/>
      <c r="O8" s="514" t="s">
        <v>190</v>
      </c>
      <c r="P8" s="514"/>
      <c r="Q8" s="415"/>
      <c r="R8" s="515" t="s">
        <v>210</v>
      </c>
      <c r="S8" s="515"/>
    </row>
    <row r="9" spans="2:19">
      <c r="B9" s="417" t="s">
        <v>42</v>
      </c>
      <c r="C9" s="418" t="s">
        <v>38</v>
      </c>
      <c r="D9" s="418" t="s">
        <v>51</v>
      </c>
      <c r="E9" s="419"/>
      <c r="F9" s="418" t="s">
        <v>38</v>
      </c>
      <c r="G9" s="418" t="s">
        <v>51</v>
      </c>
      <c r="H9" s="419"/>
      <c r="I9" s="418" t="s">
        <v>38</v>
      </c>
      <c r="J9" s="418" t="s">
        <v>51</v>
      </c>
      <c r="K9" s="419"/>
      <c r="L9" s="418" t="s">
        <v>38</v>
      </c>
      <c r="M9" s="418" t="s">
        <v>51</v>
      </c>
      <c r="N9" s="419"/>
      <c r="O9" s="418" t="s">
        <v>38</v>
      </c>
      <c r="P9" s="418" t="s">
        <v>51</v>
      </c>
      <c r="Q9" s="419"/>
      <c r="R9" s="418" t="s">
        <v>38</v>
      </c>
      <c r="S9" s="418" t="s">
        <v>51</v>
      </c>
    </row>
    <row r="10" spans="2:19">
      <c r="B10" s="400" t="s">
        <v>6</v>
      </c>
      <c r="C10" s="249">
        <v>35</v>
      </c>
      <c r="D10" s="401" t="s">
        <v>211</v>
      </c>
      <c r="E10" s="402"/>
      <c r="F10" s="249">
        <v>18.100000000000001</v>
      </c>
      <c r="G10" s="401" t="s">
        <v>229</v>
      </c>
      <c r="H10" s="402"/>
      <c r="I10" s="249">
        <v>52.4</v>
      </c>
      <c r="J10" s="402" t="s">
        <v>246</v>
      </c>
      <c r="K10" s="402"/>
      <c r="L10" s="249">
        <v>26</v>
      </c>
      <c r="M10" s="401" t="s">
        <v>220</v>
      </c>
      <c r="N10" s="402"/>
      <c r="O10" s="249">
        <v>13.5</v>
      </c>
      <c r="P10" s="401" t="s">
        <v>237</v>
      </c>
      <c r="Q10" s="402"/>
      <c r="R10" s="249">
        <v>39.9</v>
      </c>
      <c r="S10" s="402" t="s">
        <v>255</v>
      </c>
    </row>
    <row r="11" spans="2:19">
      <c r="B11" s="403" t="s">
        <v>7</v>
      </c>
      <c r="C11" s="249">
        <v>42.2</v>
      </c>
      <c r="D11" s="402" t="s">
        <v>212</v>
      </c>
      <c r="E11" s="402"/>
      <c r="F11" s="249">
        <v>24.6</v>
      </c>
      <c r="G11" s="402" t="s">
        <v>230</v>
      </c>
      <c r="H11" s="402"/>
      <c r="I11" s="249">
        <v>66.5</v>
      </c>
      <c r="J11" s="402" t="s">
        <v>247</v>
      </c>
      <c r="K11" s="402"/>
      <c r="L11" s="249">
        <v>26</v>
      </c>
      <c r="M11" s="402" t="s">
        <v>221</v>
      </c>
      <c r="N11" s="402"/>
      <c r="O11" s="249">
        <v>22.9</v>
      </c>
      <c r="P11" s="402" t="s">
        <v>238</v>
      </c>
      <c r="Q11" s="402"/>
      <c r="R11" s="249">
        <v>49.2</v>
      </c>
      <c r="S11" s="402" t="s">
        <v>256</v>
      </c>
    </row>
    <row r="12" spans="2:19">
      <c r="B12" s="403" t="s">
        <v>8</v>
      </c>
      <c r="C12" s="249">
        <v>45.4</v>
      </c>
      <c r="D12" s="402" t="s">
        <v>213</v>
      </c>
      <c r="E12" s="402"/>
      <c r="F12" s="249">
        <v>32</v>
      </c>
      <c r="G12" s="402" t="s">
        <v>231</v>
      </c>
      <c r="H12" s="402"/>
      <c r="I12" s="249">
        <v>77.5</v>
      </c>
      <c r="J12" s="402" t="s">
        <v>248</v>
      </c>
      <c r="K12" s="402"/>
      <c r="L12" s="249">
        <v>30.7</v>
      </c>
      <c r="M12" s="402" t="s">
        <v>222</v>
      </c>
      <c r="N12" s="402"/>
      <c r="O12" s="249">
        <v>29.6</v>
      </c>
      <c r="P12" s="402" t="s">
        <v>239</v>
      </c>
      <c r="Q12" s="402"/>
      <c r="R12" s="249">
        <v>60.1</v>
      </c>
      <c r="S12" s="402" t="s">
        <v>257</v>
      </c>
    </row>
    <row r="13" spans="2:19">
      <c r="B13" s="403" t="s">
        <v>9</v>
      </c>
      <c r="C13" s="249">
        <v>43</v>
      </c>
      <c r="D13" s="402" t="s">
        <v>214</v>
      </c>
      <c r="E13" s="402"/>
      <c r="F13" s="249">
        <v>40.6</v>
      </c>
      <c r="G13" s="402" t="s">
        <v>232</v>
      </c>
      <c r="H13" s="402"/>
      <c r="I13" s="249">
        <v>82.9</v>
      </c>
      <c r="J13" s="402" t="s">
        <v>249</v>
      </c>
      <c r="K13" s="402"/>
      <c r="L13" s="249">
        <v>30.7</v>
      </c>
      <c r="M13" s="402" t="s">
        <v>223</v>
      </c>
      <c r="N13" s="402"/>
      <c r="O13" s="249">
        <v>34.5</v>
      </c>
      <c r="P13" s="402" t="s">
        <v>240</v>
      </c>
      <c r="Q13" s="402"/>
      <c r="R13" s="249">
        <v>65.2</v>
      </c>
      <c r="S13" s="402" t="s">
        <v>258</v>
      </c>
    </row>
    <row r="14" spans="2:19">
      <c r="B14" s="403" t="s">
        <v>10</v>
      </c>
      <c r="C14" s="249">
        <v>42.2</v>
      </c>
      <c r="D14" s="402" t="s">
        <v>215</v>
      </c>
      <c r="E14" s="402"/>
      <c r="F14" s="249">
        <v>41.6</v>
      </c>
      <c r="G14" s="402" t="s">
        <v>233</v>
      </c>
      <c r="H14" s="402"/>
      <c r="I14" s="249">
        <v>83.6</v>
      </c>
      <c r="J14" s="402" t="s">
        <v>250</v>
      </c>
      <c r="K14" s="402"/>
      <c r="L14" s="249">
        <v>28.4</v>
      </c>
      <c r="M14" s="402" t="s">
        <v>224</v>
      </c>
      <c r="N14" s="402"/>
      <c r="O14" s="249">
        <v>38.1</v>
      </c>
      <c r="P14" s="402" t="s">
        <v>241</v>
      </c>
      <c r="Q14" s="402"/>
      <c r="R14" s="249">
        <v>66.599999999999994</v>
      </c>
      <c r="S14" s="402" t="s">
        <v>259</v>
      </c>
    </row>
    <row r="15" spans="2:19">
      <c r="B15" s="104" t="s">
        <v>13</v>
      </c>
      <c r="C15" s="404">
        <v>40.9</v>
      </c>
      <c r="D15" s="405" t="s">
        <v>216</v>
      </c>
      <c r="E15" s="405"/>
      <c r="F15" s="405">
        <v>42.2</v>
      </c>
      <c r="G15" s="402" t="s">
        <v>215</v>
      </c>
      <c r="H15" s="405"/>
      <c r="I15" s="405">
        <v>83.3</v>
      </c>
      <c r="J15" s="402" t="s">
        <v>251</v>
      </c>
      <c r="K15" s="405"/>
      <c r="L15" s="405">
        <v>34.4</v>
      </c>
      <c r="M15" s="402" t="s">
        <v>225</v>
      </c>
      <c r="N15" s="405"/>
      <c r="O15" s="405">
        <v>38.700000000000003</v>
      </c>
      <c r="P15" s="402" t="s">
        <v>242</v>
      </c>
      <c r="Q15" s="405"/>
      <c r="R15" s="405">
        <v>73.3</v>
      </c>
      <c r="S15" s="402" t="s">
        <v>260</v>
      </c>
    </row>
    <row r="16" spans="2:19">
      <c r="B16" s="403" t="s">
        <v>41</v>
      </c>
      <c r="C16" s="406">
        <v>44</v>
      </c>
      <c r="D16" s="405" t="s">
        <v>217</v>
      </c>
      <c r="E16" s="405"/>
      <c r="F16" s="405">
        <v>33.200000000000003</v>
      </c>
      <c r="G16" s="402" t="s">
        <v>234</v>
      </c>
      <c r="H16" s="405"/>
      <c r="I16" s="405">
        <v>78.3</v>
      </c>
      <c r="J16" s="402" t="s">
        <v>252</v>
      </c>
      <c r="K16" s="405"/>
      <c r="L16" s="405">
        <v>33.299999999999997</v>
      </c>
      <c r="M16" s="402" t="s">
        <v>226</v>
      </c>
      <c r="N16" s="405"/>
      <c r="O16" s="249">
        <v>38.6</v>
      </c>
      <c r="P16" s="402" t="s">
        <v>243</v>
      </c>
      <c r="Q16" s="405"/>
      <c r="R16" s="249">
        <v>72.099999999999994</v>
      </c>
      <c r="S16" s="402" t="s">
        <v>261</v>
      </c>
    </row>
    <row r="17" spans="2:19">
      <c r="B17" s="407" t="s">
        <v>730</v>
      </c>
      <c r="C17" s="250">
        <v>46.2</v>
      </c>
      <c r="D17" s="405" t="s">
        <v>218</v>
      </c>
      <c r="E17" s="405"/>
      <c r="F17" s="408">
        <v>16</v>
      </c>
      <c r="G17" s="402" t="s">
        <v>235</v>
      </c>
      <c r="H17" s="405"/>
      <c r="I17" s="405">
        <v>65.099999999999994</v>
      </c>
      <c r="J17" s="402" t="s">
        <v>253</v>
      </c>
      <c r="K17" s="405"/>
      <c r="L17" s="408">
        <v>38</v>
      </c>
      <c r="M17" s="402" t="s">
        <v>227</v>
      </c>
      <c r="N17" s="405"/>
      <c r="O17" s="249">
        <v>22.8</v>
      </c>
      <c r="P17" s="402" t="s">
        <v>244</v>
      </c>
      <c r="Q17" s="405"/>
      <c r="R17" s="249">
        <v>61.2</v>
      </c>
      <c r="S17" s="402" t="s">
        <v>262</v>
      </c>
    </row>
    <row r="18" spans="2:19">
      <c r="B18" s="409" t="s">
        <v>562</v>
      </c>
      <c r="C18" s="410">
        <v>42</v>
      </c>
      <c r="D18" s="410" t="s">
        <v>219</v>
      </c>
      <c r="E18" s="410"/>
      <c r="F18" s="410">
        <v>32.5</v>
      </c>
      <c r="G18" s="411" t="s">
        <v>236</v>
      </c>
      <c r="H18" s="410"/>
      <c r="I18" s="410">
        <v>74.5</v>
      </c>
      <c r="J18" s="411" t="s">
        <v>254</v>
      </c>
      <c r="K18" s="412"/>
      <c r="L18" s="410">
        <v>29.6</v>
      </c>
      <c r="M18" s="411" t="s">
        <v>228</v>
      </c>
      <c r="N18" s="410"/>
      <c r="O18" s="410">
        <v>30.2</v>
      </c>
      <c r="P18" s="411" t="s">
        <v>245</v>
      </c>
      <c r="Q18" s="410"/>
      <c r="R18" s="410">
        <v>59.7</v>
      </c>
      <c r="S18" s="411" t="s">
        <v>263</v>
      </c>
    </row>
    <row r="19" spans="2:19">
      <c r="B19" s="420" t="s">
        <v>731</v>
      </c>
      <c r="C19" s="350"/>
      <c r="D19" s="350"/>
      <c r="E19" s="350"/>
      <c r="F19" s="350"/>
      <c r="G19" s="350"/>
      <c r="H19" s="350"/>
      <c r="I19" s="350"/>
      <c r="J19" s="350"/>
      <c r="K19" s="350"/>
      <c r="L19" s="350"/>
      <c r="M19" s="350"/>
      <c r="N19" s="350"/>
      <c r="O19" s="350"/>
      <c r="P19" s="350"/>
      <c r="Q19" s="350"/>
      <c r="R19" s="350"/>
      <c r="S19" s="350"/>
    </row>
    <row r="20" spans="2:19">
      <c r="B20" s="421" t="s">
        <v>732</v>
      </c>
      <c r="C20" s="350"/>
      <c r="D20" s="350"/>
      <c r="E20" s="350"/>
      <c r="F20" s="350"/>
      <c r="G20" s="350"/>
      <c r="H20" s="350"/>
      <c r="I20" s="350"/>
      <c r="J20" s="350"/>
      <c r="K20" s="350"/>
      <c r="L20" s="350"/>
      <c r="M20" s="350"/>
      <c r="N20" s="350"/>
      <c r="O20" s="350"/>
      <c r="P20" s="350"/>
      <c r="Q20" s="350"/>
      <c r="R20" s="350"/>
      <c r="S20" s="350"/>
    </row>
    <row r="21" spans="2:19">
      <c r="B21" s="42" t="s">
        <v>733</v>
      </c>
      <c r="C21" s="112"/>
      <c r="D21" s="112"/>
      <c r="E21" s="112"/>
      <c r="F21" s="112"/>
      <c r="G21" s="112"/>
      <c r="H21" s="112"/>
      <c r="I21" s="112"/>
      <c r="J21" s="112"/>
      <c r="K21" s="112"/>
      <c r="L21" s="112"/>
      <c r="M21" s="112"/>
      <c r="N21" s="112"/>
      <c r="O21" s="112"/>
      <c r="P21" s="112"/>
      <c r="Q21" s="112"/>
      <c r="R21" s="112"/>
      <c r="S21" s="112"/>
    </row>
    <row r="22" spans="2:19">
      <c r="B22" s="420" t="s">
        <v>734</v>
      </c>
      <c r="C22" s="350"/>
      <c r="D22" s="350"/>
      <c r="E22" s="350"/>
      <c r="F22" s="350"/>
      <c r="G22" s="350"/>
      <c r="H22" s="350"/>
      <c r="I22" s="350"/>
      <c r="J22" s="350"/>
      <c r="K22" s="350"/>
      <c r="L22" s="350"/>
      <c r="M22" s="350"/>
      <c r="N22" s="350"/>
      <c r="O22" s="350"/>
      <c r="P22" s="350"/>
      <c r="Q22" s="350"/>
      <c r="R22" s="350"/>
      <c r="S22" s="350"/>
    </row>
    <row r="23" spans="2:19">
      <c r="B23" s="403" t="s">
        <v>735</v>
      </c>
      <c r="C23" s="348"/>
      <c r="D23" s="348"/>
      <c r="E23" s="348"/>
      <c r="F23" s="348"/>
      <c r="G23" s="348"/>
      <c r="H23" s="348"/>
      <c r="I23" s="348"/>
      <c r="J23" s="348"/>
      <c r="K23" s="348"/>
      <c r="L23" s="348"/>
      <c r="M23" s="348"/>
      <c r="N23" s="348"/>
      <c r="O23" s="348"/>
      <c r="P23" s="348"/>
      <c r="Q23" s="348"/>
      <c r="R23" s="348"/>
      <c r="S23" s="348"/>
    </row>
    <row r="24" spans="2:19">
      <c r="B24" s="420" t="s">
        <v>1070</v>
      </c>
      <c r="C24" s="351"/>
      <c r="D24" s="351"/>
      <c r="E24" s="351"/>
      <c r="F24" s="351"/>
      <c r="G24" s="351"/>
      <c r="H24" s="351"/>
      <c r="I24" s="351"/>
      <c r="J24" s="351"/>
      <c r="K24" s="351"/>
      <c r="L24" s="351"/>
      <c r="M24" s="351"/>
      <c r="N24" s="351"/>
      <c r="O24" s="351"/>
      <c r="P24" s="351"/>
      <c r="Q24" s="351"/>
      <c r="R24" s="351"/>
      <c r="S24" s="351"/>
    </row>
    <row r="25" spans="2:19">
      <c r="B25" s="422"/>
      <c r="C25" s="112"/>
      <c r="D25" s="112"/>
      <c r="E25" s="112"/>
      <c r="F25" s="112"/>
      <c r="G25" s="112"/>
      <c r="H25" s="112"/>
      <c r="I25" s="112"/>
      <c r="J25" s="112"/>
      <c r="K25" s="112"/>
      <c r="L25" s="112"/>
      <c r="M25" s="112"/>
      <c r="N25" s="112"/>
      <c r="O25" s="112"/>
      <c r="P25" s="112"/>
      <c r="Q25" s="112"/>
      <c r="R25" s="112"/>
      <c r="S25" s="112"/>
    </row>
    <row r="26" spans="2:19">
      <c r="B26" s="112"/>
      <c r="C26" s="112"/>
      <c r="D26" s="112"/>
      <c r="E26" s="112"/>
      <c r="F26" s="112"/>
      <c r="G26" s="112"/>
      <c r="H26" s="112"/>
      <c r="I26" s="112"/>
      <c r="J26" s="112"/>
      <c r="K26" s="112"/>
      <c r="L26" s="112"/>
      <c r="M26" s="112"/>
      <c r="N26" s="112"/>
      <c r="O26" s="112"/>
      <c r="P26" s="112"/>
      <c r="Q26" s="112"/>
      <c r="R26" s="112"/>
      <c r="S26" s="112"/>
    </row>
    <row r="30" spans="2:19" ht="30" customHeight="1"/>
    <row r="31" spans="2:19" ht="17.25" customHeight="1"/>
    <row r="34" spans="2:2" ht="47.25" customHeight="1"/>
    <row r="35" spans="2:2" ht="39.75" customHeight="1"/>
    <row r="36" spans="2:2" ht="36.75" customHeight="1"/>
    <row r="37" spans="2:2" ht="38.25" customHeight="1"/>
    <row r="40" spans="2:2">
      <c r="B40" s="90"/>
    </row>
  </sheetData>
  <mergeCells count="10">
    <mergeCell ref="O1:P1"/>
    <mergeCell ref="C7:J7"/>
    <mergeCell ref="L7:S7"/>
    <mergeCell ref="C8:D8"/>
    <mergeCell ref="F8:G8"/>
    <mergeCell ref="I8:J8"/>
    <mergeCell ref="L8:M8"/>
    <mergeCell ref="O8:P8"/>
    <mergeCell ref="R8:S8"/>
    <mergeCell ref="B6:S6"/>
  </mergeCells>
  <hyperlinks>
    <hyperlink ref="O1:P1" location="Contents!A1" display="Return to contents" xr:uid="{00000000-0004-0000-0400-000000000000}"/>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49"/>
  <sheetViews>
    <sheetView showGridLines="0" zoomScaleNormal="100" workbookViewId="0">
      <selection activeCell="N1" sqref="N1:O1"/>
    </sheetView>
  </sheetViews>
  <sheetFormatPr defaultColWidth="19.28515625" defaultRowHeight="15"/>
  <cols>
    <col min="2" max="2" width="31.7109375" customWidth="1"/>
    <col min="3" max="3" width="7.7109375" customWidth="1"/>
    <col min="4" max="4" width="9.85546875" customWidth="1"/>
    <col min="5" max="5" width="7.7109375" customWidth="1"/>
    <col min="6" max="6" width="8.85546875" customWidth="1"/>
    <col min="7" max="7" width="7.7109375" customWidth="1"/>
    <col min="8" max="8" width="9.42578125" customWidth="1"/>
    <col min="9" max="10" width="7.7109375" customWidth="1"/>
    <col min="11" max="11" width="8.5703125" customWidth="1"/>
    <col min="12" max="12" width="7.7109375" customWidth="1"/>
    <col min="13" max="13" width="9.140625" customWidth="1"/>
    <col min="14" max="14" width="7.7109375" customWidth="1"/>
    <col min="15" max="15" width="8.85546875" customWidth="1"/>
  </cols>
  <sheetData>
    <row r="1" spans="1:18" ht="16.5" thickTop="1" thickBot="1">
      <c r="N1" s="510" t="s">
        <v>3</v>
      </c>
      <c r="O1" s="511"/>
    </row>
    <row r="2" spans="1:18" ht="15.75" thickTop="1"/>
    <row r="5" spans="1:18" ht="11.25" customHeight="1"/>
    <row r="6" spans="1:18" ht="15.75" customHeight="1">
      <c r="B6" s="516" t="s">
        <v>960</v>
      </c>
      <c r="C6" s="503"/>
      <c r="D6" s="503"/>
      <c r="E6" s="503"/>
      <c r="F6" s="503"/>
      <c r="G6" s="503"/>
      <c r="H6" s="503"/>
      <c r="I6" s="503"/>
      <c r="J6" s="503"/>
      <c r="K6" s="503"/>
      <c r="L6" s="503"/>
      <c r="M6" s="503"/>
      <c r="N6" s="503"/>
      <c r="O6" s="503"/>
      <c r="P6" s="503"/>
      <c r="Q6" s="503"/>
      <c r="R6" s="503"/>
    </row>
    <row r="7" spans="1:18" ht="15.75" customHeight="1">
      <c r="B7" s="52"/>
      <c r="C7" s="52"/>
      <c r="D7" s="52"/>
      <c r="E7" s="52"/>
      <c r="F7" s="52"/>
      <c r="G7" s="52"/>
      <c r="H7" s="52"/>
      <c r="I7" s="52"/>
      <c r="J7" s="52"/>
      <c r="K7" s="52"/>
      <c r="L7" s="52"/>
      <c r="M7" s="52"/>
      <c r="N7" s="52"/>
      <c r="O7" s="52"/>
      <c r="P7" s="52"/>
      <c r="Q7" s="52"/>
      <c r="R7" s="52"/>
    </row>
    <row r="8" spans="1:18">
      <c r="B8" s="352"/>
      <c r="C8" s="518" t="s">
        <v>11</v>
      </c>
      <c r="D8" s="518"/>
      <c r="E8" s="518"/>
      <c r="F8" s="518"/>
      <c r="G8" s="518"/>
      <c r="H8" s="518"/>
      <c r="I8" s="447"/>
      <c r="J8" s="519" t="s">
        <v>12</v>
      </c>
      <c r="K8" s="519"/>
      <c r="L8" s="519"/>
      <c r="M8" s="519"/>
      <c r="N8" s="519"/>
      <c r="O8" s="519"/>
    </row>
    <row r="9" spans="1:18" ht="27" customHeight="1">
      <c r="B9" s="353"/>
      <c r="C9" s="517" t="s">
        <v>210</v>
      </c>
      <c r="D9" s="517"/>
      <c r="E9" s="517" t="s">
        <v>729</v>
      </c>
      <c r="F9" s="517"/>
      <c r="G9" s="520" t="s">
        <v>190</v>
      </c>
      <c r="H9" s="520"/>
      <c r="I9" s="448"/>
      <c r="J9" s="517" t="s">
        <v>210</v>
      </c>
      <c r="K9" s="517"/>
      <c r="L9" s="517" t="s">
        <v>729</v>
      </c>
      <c r="M9" s="517"/>
      <c r="N9" s="520" t="s">
        <v>190</v>
      </c>
      <c r="O9" s="520"/>
    </row>
    <row r="10" spans="1:18">
      <c r="B10" s="423"/>
      <c r="C10" s="424" t="s">
        <v>38</v>
      </c>
      <c r="D10" s="424" t="s">
        <v>51</v>
      </c>
      <c r="E10" s="424" t="s">
        <v>38</v>
      </c>
      <c r="F10" s="424" t="s">
        <v>51</v>
      </c>
      <c r="G10" s="424" t="s">
        <v>38</v>
      </c>
      <c r="H10" s="424" t="s">
        <v>51</v>
      </c>
      <c r="I10" s="425"/>
      <c r="J10" s="424" t="s">
        <v>38</v>
      </c>
      <c r="K10" s="424" t="s">
        <v>51</v>
      </c>
      <c r="L10" s="424" t="s">
        <v>38</v>
      </c>
      <c r="M10" s="424" t="s">
        <v>51</v>
      </c>
      <c r="N10" s="424" t="s">
        <v>38</v>
      </c>
      <c r="O10" s="424" t="s">
        <v>51</v>
      </c>
    </row>
    <row r="11" spans="1:18">
      <c r="B11" s="423" t="s">
        <v>959</v>
      </c>
      <c r="C11" s="426"/>
      <c r="D11" s="426"/>
      <c r="E11" s="426"/>
      <c r="F11" s="426"/>
      <c r="G11" s="426"/>
      <c r="H11" s="426"/>
      <c r="I11" s="425"/>
      <c r="J11" s="426"/>
      <c r="K11" s="426"/>
      <c r="L11" s="426"/>
      <c r="M11" s="426"/>
      <c r="N11" s="426"/>
      <c r="O11" s="426"/>
    </row>
    <row r="12" spans="1:18">
      <c r="B12" s="427" t="s">
        <v>561</v>
      </c>
      <c r="C12" s="428"/>
      <c r="D12" s="428"/>
      <c r="E12" s="428"/>
      <c r="F12" s="428"/>
      <c r="G12" s="428"/>
      <c r="H12" s="428"/>
      <c r="I12" s="428"/>
      <c r="J12" s="428"/>
      <c r="K12" s="428"/>
      <c r="L12" s="428"/>
      <c r="M12" s="428"/>
      <c r="N12" s="428"/>
      <c r="O12" s="428"/>
    </row>
    <row r="13" spans="1:18" ht="20.25" customHeight="1">
      <c r="B13" s="429" t="s">
        <v>52</v>
      </c>
      <c r="C13" s="430">
        <v>73.370999999999995</v>
      </c>
      <c r="D13" s="431" t="s">
        <v>738</v>
      </c>
      <c r="E13" s="430">
        <v>42.954999999999998</v>
      </c>
      <c r="F13" s="431" t="s">
        <v>739</v>
      </c>
      <c r="G13" s="430">
        <v>30.481000000000002</v>
      </c>
      <c r="H13" s="431" t="s">
        <v>270</v>
      </c>
      <c r="I13" s="431"/>
      <c r="J13" s="430">
        <v>56.920999999999999</v>
      </c>
      <c r="K13" s="431" t="s">
        <v>740</v>
      </c>
      <c r="L13" s="430">
        <v>29.536999999999999</v>
      </c>
      <c r="M13" s="430" t="s">
        <v>741</v>
      </c>
      <c r="N13" s="430">
        <v>27.367999999999999</v>
      </c>
      <c r="O13" s="87" t="s">
        <v>742</v>
      </c>
    </row>
    <row r="14" spans="1:18" ht="16.5" customHeight="1">
      <c r="B14" s="429" t="s">
        <v>743</v>
      </c>
      <c r="C14" s="430">
        <v>78.122</v>
      </c>
      <c r="D14" s="431" t="s">
        <v>744</v>
      </c>
      <c r="E14" s="430">
        <v>39.648000000000003</v>
      </c>
      <c r="F14" s="431" t="s">
        <v>745</v>
      </c>
      <c r="G14" s="430">
        <v>38.012999999999998</v>
      </c>
      <c r="H14" s="431" t="s">
        <v>746</v>
      </c>
      <c r="I14" s="431"/>
      <c r="J14" s="430">
        <v>64.322999999999993</v>
      </c>
      <c r="K14" s="431" t="s">
        <v>747</v>
      </c>
      <c r="L14" s="430">
        <v>28.768000000000001</v>
      </c>
      <c r="M14" s="430" t="s">
        <v>748</v>
      </c>
      <c r="N14" s="430">
        <v>35.555</v>
      </c>
      <c r="O14" s="87" t="s">
        <v>749</v>
      </c>
    </row>
    <row r="15" spans="1:18" ht="17.25" customHeight="1">
      <c r="B15" s="429" t="s">
        <v>750</v>
      </c>
      <c r="C15" s="430">
        <v>75.031000000000006</v>
      </c>
      <c r="D15" s="431" t="s">
        <v>751</v>
      </c>
      <c r="E15" s="430">
        <v>40.405000000000001</v>
      </c>
      <c r="F15" s="431" t="s">
        <v>752</v>
      </c>
      <c r="G15" s="430">
        <v>34.042000000000002</v>
      </c>
      <c r="H15" s="431" t="s">
        <v>753</v>
      </c>
      <c r="I15" s="431"/>
      <c r="J15" s="430">
        <v>65.472999999999999</v>
      </c>
      <c r="K15" s="431" t="s">
        <v>754</v>
      </c>
      <c r="L15" s="430">
        <v>29.638000000000002</v>
      </c>
      <c r="M15" s="430" t="s">
        <v>755</v>
      </c>
      <c r="N15" s="430">
        <v>35.832999999999998</v>
      </c>
      <c r="O15" s="87" t="s">
        <v>756</v>
      </c>
    </row>
    <row r="16" spans="1:18" s="8" customFormat="1">
      <c r="A16"/>
      <c r="B16" s="427" t="s">
        <v>757</v>
      </c>
      <c r="C16" s="432"/>
      <c r="D16" s="431"/>
      <c r="E16" s="430"/>
      <c r="F16" s="431"/>
      <c r="G16" s="430"/>
      <c r="H16" s="431"/>
      <c r="I16" s="432"/>
      <c r="J16" s="432"/>
      <c r="K16" s="431"/>
      <c r="L16" s="430"/>
      <c r="M16" s="432"/>
      <c r="N16" s="430"/>
      <c r="O16" s="87"/>
      <c r="P16"/>
    </row>
    <row r="17" spans="2:15">
      <c r="B17" s="429" t="s">
        <v>758</v>
      </c>
      <c r="C17" s="430">
        <v>76.5</v>
      </c>
      <c r="D17" s="431" t="s">
        <v>759</v>
      </c>
      <c r="E17" s="430">
        <v>39.697000000000003</v>
      </c>
      <c r="F17" s="431" t="s">
        <v>760</v>
      </c>
      <c r="G17" s="430">
        <v>37.223999999999997</v>
      </c>
      <c r="H17" s="431" t="s">
        <v>761</v>
      </c>
      <c r="I17" s="431"/>
      <c r="J17" s="430">
        <v>66.323999999999998</v>
      </c>
      <c r="K17" s="431" t="s">
        <v>762</v>
      </c>
      <c r="L17" s="430">
        <v>28.623000000000001</v>
      </c>
      <c r="M17" s="430" t="s">
        <v>287</v>
      </c>
      <c r="N17" s="430">
        <v>38.146000000000001</v>
      </c>
      <c r="O17" s="87" t="s">
        <v>763</v>
      </c>
    </row>
    <row r="18" spans="2:15">
      <c r="B18" s="429" t="s">
        <v>764</v>
      </c>
      <c r="C18" s="430">
        <v>75.376000000000005</v>
      </c>
      <c r="D18" s="431" t="s">
        <v>765</v>
      </c>
      <c r="E18" s="430">
        <v>39.116</v>
      </c>
      <c r="F18" s="431" t="s">
        <v>766</v>
      </c>
      <c r="G18" s="430">
        <v>36.139000000000003</v>
      </c>
      <c r="H18" s="431" t="s">
        <v>767</v>
      </c>
      <c r="I18" s="431"/>
      <c r="J18" s="430">
        <v>61.128</v>
      </c>
      <c r="K18" s="431" t="s">
        <v>768</v>
      </c>
      <c r="L18" s="430">
        <v>28.082999999999998</v>
      </c>
      <c r="M18" s="430" t="s">
        <v>769</v>
      </c>
      <c r="N18" s="430">
        <v>32.889000000000003</v>
      </c>
      <c r="O18" s="87" t="s">
        <v>770</v>
      </c>
    </row>
    <row r="19" spans="2:15">
      <c r="B19" s="429" t="s">
        <v>771</v>
      </c>
      <c r="C19" s="430">
        <v>72.742999999999995</v>
      </c>
      <c r="D19" s="431" t="s">
        <v>772</v>
      </c>
      <c r="E19" s="430">
        <v>41.146999999999998</v>
      </c>
      <c r="F19" s="431" t="s">
        <v>773</v>
      </c>
      <c r="G19" s="430">
        <v>31.475000000000001</v>
      </c>
      <c r="H19" s="431" t="s">
        <v>774</v>
      </c>
      <c r="I19" s="431"/>
      <c r="J19" s="430">
        <v>60.378</v>
      </c>
      <c r="K19" s="431" t="s">
        <v>775</v>
      </c>
      <c r="L19" s="430">
        <v>30.791</v>
      </c>
      <c r="M19" s="430" t="s">
        <v>776</v>
      </c>
      <c r="N19" s="430">
        <v>29.584</v>
      </c>
      <c r="O19" s="87" t="s">
        <v>777</v>
      </c>
    </row>
    <row r="20" spans="2:15">
      <c r="B20" s="429" t="s">
        <v>778</v>
      </c>
      <c r="C20" s="430">
        <v>73.787999999999997</v>
      </c>
      <c r="D20" s="431" t="s">
        <v>779</v>
      </c>
      <c r="E20" s="430">
        <v>42.89</v>
      </c>
      <c r="F20" s="431" t="s">
        <v>780</v>
      </c>
      <c r="G20" s="430">
        <v>30.893000000000001</v>
      </c>
      <c r="H20" s="431" t="s">
        <v>781</v>
      </c>
      <c r="I20" s="431"/>
      <c r="J20" s="430">
        <v>57.792000000000002</v>
      </c>
      <c r="K20" s="431" t="s">
        <v>782</v>
      </c>
      <c r="L20" s="430">
        <v>31.146000000000001</v>
      </c>
      <c r="M20" s="430" t="s">
        <v>783</v>
      </c>
      <c r="N20" s="430">
        <v>26.867000000000001</v>
      </c>
      <c r="O20" s="87" t="s">
        <v>784</v>
      </c>
    </row>
    <row r="21" spans="2:15" ht="17.25" customHeight="1">
      <c r="B21" s="429" t="s">
        <v>785</v>
      </c>
      <c r="C21" s="430">
        <v>72.820999999999998</v>
      </c>
      <c r="D21" s="431" t="s">
        <v>786</v>
      </c>
      <c r="E21" s="430">
        <v>46.87</v>
      </c>
      <c r="F21" s="431" t="s">
        <v>787</v>
      </c>
      <c r="G21" s="430">
        <v>25.677</v>
      </c>
      <c r="H21" s="431" t="s">
        <v>788</v>
      </c>
      <c r="I21" s="431"/>
      <c r="J21" s="430">
        <v>49.637</v>
      </c>
      <c r="K21" s="431" t="s">
        <v>789</v>
      </c>
      <c r="L21" s="430">
        <v>27.693000000000001</v>
      </c>
      <c r="M21" s="430" t="s">
        <v>790</v>
      </c>
      <c r="N21" s="430">
        <v>21.766999999999999</v>
      </c>
      <c r="O21" s="430" t="s">
        <v>791</v>
      </c>
    </row>
    <row r="22" spans="2:15" ht="15" customHeight="1">
      <c r="B22" s="429"/>
      <c r="C22" s="430"/>
      <c r="D22" s="431"/>
      <c r="E22" s="430"/>
      <c r="F22" s="431"/>
      <c r="G22" s="430"/>
      <c r="H22" s="431"/>
      <c r="I22" s="431"/>
      <c r="J22" s="430"/>
      <c r="K22" s="431"/>
      <c r="L22" s="430"/>
      <c r="M22" s="430"/>
      <c r="N22" s="430"/>
      <c r="O22" s="430"/>
    </row>
    <row r="23" spans="2:15">
      <c r="B23" s="150" t="s">
        <v>506</v>
      </c>
      <c r="C23" s="87"/>
      <c r="D23" s="87"/>
      <c r="E23" s="87"/>
      <c r="F23" s="87"/>
      <c r="G23" s="87"/>
      <c r="H23" s="87"/>
      <c r="I23" s="87"/>
      <c r="J23" s="87"/>
      <c r="K23" s="87"/>
      <c r="L23" s="87"/>
      <c r="M23" s="87"/>
      <c r="N23" s="87"/>
      <c r="O23" s="87"/>
    </row>
    <row r="24" spans="2:15">
      <c r="B24" s="427" t="s">
        <v>561</v>
      </c>
      <c r="C24" s="428"/>
      <c r="D24" s="428"/>
      <c r="E24" s="428"/>
      <c r="F24" s="428"/>
      <c r="G24" s="428"/>
      <c r="H24" s="428"/>
      <c r="I24" s="428"/>
      <c r="J24" s="428"/>
      <c r="K24" s="428"/>
      <c r="L24" s="428"/>
      <c r="M24" s="428"/>
      <c r="N24" s="428"/>
      <c r="O24" s="428"/>
    </row>
    <row r="25" spans="2:15" ht="17.25" customHeight="1">
      <c r="B25" s="429" t="s">
        <v>52</v>
      </c>
      <c r="C25" s="430">
        <v>73.108000000000004</v>
      </c>
      <c r="D25" s="431" t="s">
        <v>276</v>
      </c>
      <c r="E25" s="430">
        <v>42.698</v>
      </c>
      <c r="F25" s="431" t="s">
        <v>264</v>
      </c>
      <c r="G25" s="430">
        <v>30.475000000000001</v>
      </c>
      <c r="H25" s="431" t="s">
        <v>270</v>
      </c>
      <c r="I25" s="431"/>
      <c r="J25" s="430">
        <v>57.098999999999997</v>
      </c>
      <c r="K25" s="431" t="s">
        <v>279</v>
      </c>
      <c r="L25" s="430">
        <v>29.509</v>
      </c>
      <c r="M25" s="430" t="s">
        <v>267</v>
      </c>
      <c r="N25" s="430">
        <v>27.574000000000002</v>
      </c>
      <c r="O25" s="87" t="s">
        <v>273</v>
      </c>
    </row>
    <row r="26" spans="2:15" ht="18" customHeight="1">
      <c r="B26" s="429" t="s">
        <v>743</v>
      </c>
      <c r="C26" s="430">
        <v>79.31</v>
      </c>
      <c r="D26" s="431" t="s">
        <v>277</v>
      </c>
      <c r="E26" s="430">
        <v>39.665999999999997</v>
      </c>
      <c r="F26" s="431" t="s">
        <v>265</v>
      </c>
      <c r="G26" s="430">
        <v>39.174999999999997</v>
      </c>
      <c r="H26" s="431" t="s">
        <v>271</v>
      </c>
      <c r="I26" s="431"/>
      <c r="J26" s="430">
        <v>65.896000000000001</v>
      </c>
      <c r="K26" s="431" t="s">
        <v>280</v>
      </c>
      <c r="L26" s="430">
        <v>29.46</v>
      </c>
      <c r="M26" s="430" t="s">
        <v>268</v>
      </c>
      <c r="N26" s="430">
        <v>36.436</v>
      </c>
      <c r="O26" s="87" t="s">
        <v>274</v>
      </c>
    </row>
    <row r="27" spans="2:15" ht="17.25" customHeight="1">
      <c r="B27" s="429" t="s">
        <v>750</v>
      </c>
      <c r="C27" s="430">
        <v>76.503</v>
      </c>
      <c r="D27" s="431" t="s">
        <v>278</v>
      </c>
      <c r="E27" s="430">
        <v>40.274999999999999</v>
      </c>
      <c r="F27" s="431" t="s">
        <v>266</v>
      </c>
      <c r="G27" s="430">
        <v>35.631</v>
      </c>
      <c r="H27" s="431" t="s">
        <v>272</v>
      </c>
      <c r="I27" s="431"/>
      <c r="J27" s="430">
        <v>67.757000000000005</v>
      </c>
      <c r="K27" s="431" t="s">
        <v>281</v>
      </c>
      <c r="L27" s="430">
        <v>29.989000000000001</v>
      </c>
      <c r="M27" s="430" t="s">
        <v>269</v>
      </c>
      <c r="N27" s="430">
        <v>37.768999999999998</v>
      </c>
      <c r="O27" s="87" t="s">
        <v>275</v>
      </c>
    </row>
    <row r="28" spans="2:15">
      <c r="B28" s="427" t="s">
        <v>757</v>
      </c>
      <c r="C28" s="432"/>
      <c r="D28" s="431"/>
      <c r="E28" s="430"/>
      <c r="F28" s="431"/>
      <c r="G28" s="430"/>
      <c r="H28" s="431"/>
      <c r="I28" s="432"/>
      <c r="J28" s="430"/>
      <c r="K28" s="431"/>
      <c r="L28" s="430"/>
      <c r="M28" s="432"/>
      <c r="N28" s="430"/>
      <c r="O28" s="87"/>
    </row>
    <row r="29" spans="2:15">
      <c r="B29" s="429" t="s">
        <v>758</v>
      </c>
      <c r="C29" s="430">
        <v>76.73</v>
      </c>
      <c r="D29" s="431" t="s">
        <v>302</v>
      </c>
      <c r="E29" s="430">
        <v>39.154000000000003</v>
      </c>
      <c r="F29" s="431" t="s">
        <v>282</v>
      </c>
      <c r="G29" s="430">
        <v>37.997999999999998</v>
      </c>
      <c r="H29" s="431" t="s">
        <v>292</v>
      </c>
      <c r="I29" s="431"/>
      <c r="J29" s="430">
        <v>66.581000000000003</v>
      </c>
      <c r="K29" s="431" t="s">
        <v>307</v>
      </c>
      <c r="L29" s="430">
        <v>28.657</v>
      </c>
      <c r="M29" s="430" t="s">
        <v>287</v>
      </c>
      <c r="N29" s="430">
        <v>38.371000000000002</v>
      </c>
      <c r="O29" s="87" t="s">
        <v>297</v>
      </c>
    </row>
    <row r="30" spans="2:15">
      <c r="B30" s="429" t="s">
        <v>764</v>
      </c>
      <c r="C30" s="430">
        <v>75.224000000000004</v>
      </c>
      <c r="D30" s="431" t="s">
        <v>303</v>
      </c>
      <c r="E30" s="430">
        <v>38.588000000000001</v>
      </c>
      <c r="F30" s="431" t="s">
        <v>283</v>
      </c>
      <c r="G30" s="430">
        <v>36.518999999999998</v>
      </c>
      <c r="H30" s="431" t="s">
        <v>293</v>
      </c>
      <c r="I30" s="431"/>
      <c r="J30" s="430">
        <v>62.545999999999999</v>
      </c>
      <c r="K30" s="431" t="s">
        <v>308</v>
      </c>
      <c r="L30" s="430">
        <v>28.721</v>
      </c>
      <c r="M30" s="430" t="s">
        <v>288</v>
      </c>
      <c r="N30" s="430">
        <v>33.665999999999997</v>
      </c>
      <c r="O30" s="87" t="s">
        <v>298</v>
      </c>
    </row>
    <row r="31" spans="2:15">
      <c r="B31" s="429" t="s">
        <v>771</v>
      </c>
      <c r="C31" s="430">
        <v>72.685000000000002</v>
      </c>
      <c r="D31" s="431" t="s">
        <v>304</v>
      </c>
      <c r="E31" s="430">
        <v>41.353999999999999</v>
      </c>
      <c r="F31" s="431" t="s">
        <v>284</v>
      </c>
      <c r="G31" s="430">
        <v>31.210999999999999</v>
      </c>
      <c r="H31" s="431" t="s">
        <v>294</v>
      </c>
      <c r="I31" s="431"/>
      <c r="J31" s="430">
        <v>60.326999999999998</v>
      </c>
      <c r="K31" s="431" t="s">
        <v>309</v>
      </c>
      <c r="L31" s="430">
        <v>30.544</v>
      </c>
      <c r="M31" s="430" t="s">
        <v>289</v>
      </c>
      <c r="N31" s="430">
        <v>29.780999999999999</v>
      </c>
      <c r="O31" s="87" t="s">
        <v>299</v>
      </c>
    </row>
    <row r="32" spans="2:15">
      <c r="B32" s="429" t="s">
        <v>778</v>
      </c>
      <c r="C32" s="430">
        <v>74.872</v>
      </c>
      <c r="D32" s="431" t="s">
        <v>305</v>
      </c>
      <c r="E32" s="430">
        <v>42.959000000000003</v>
      </c>
      <c r="F32" s="431" t="s">
        <v>285</v>
      </c>
      <c r="G32" s="430">
        <v>31.911000000000001</v>
      </c>
      <c r="H32" s="431" t="s">
        <v>295</v>
      </c>
      <c r="I32" s="431"/>
      <c r="J32" s="430">
        <v>57.970999999999997</v>
      </c>
      <c r="K32" s="431" t="s">
        <v>310</v>
      </c>
      <c r="L32" s="430">
        <v>31.216999999999999</v>
      </c>
      <c r="M32" s="430" t="s">
        <v>290</v>
      </c>
      <c r="N32" s="430">
        <v>26.975999999999999</v>
      </c>
      <c r="O32" s="87" t="s">
        <v>300</v>
      </c>
    </row>
    <row r="33" spans="1:16" s="105" customFormat="1" ht="18" customHeight="1">
      <c r="A33"/>
      <c r="B33" s="433" t="s">
        <v>785</v>
      </c>
      <c r="C33" s="434">
        <v>73.123000000000005</v>
      </c>
      <c r="D33" s="435" t="s">
        <v>306</v>
      </c>
      <c r="E33" s="434">
        <v>46.674999999999997</v>
      </c>
      <c r="F33" s="435" t="s">
        <v>286</v>
      </c>
      <c r="G33" s="434">
        <v>26.17</v>
      </c>
      <c r="H33" s="435" t="s">
        <v>296</v>
      </c>
      <c r="I33" s="435"/>
      <c r="J33" s="434">
        <v>51.701999999999998</v>
      </c>
      <c r="K33" s="435" t="s">
        <v>311</v>
      </c>
      <c r="L33" s="434">
        <v>28.167000000000002</v>
      </c>
      <c r="M33" s="434" t="s">
        <v>291</v>
      </c>
      <c r="N33" s="434">
        <v>23.359000000000002</v>
      </c>
      <c r="O33" s="434" t="s">
        <v>301</v>
      </c>
      <c r="P33"/>
    </row>
    <row r="34" spans="1:16" s="105" customFormat="1">
      <c r="A34"/>
      <c r="B34" s="429" t="s">
        <v>792</v>
      </c>
      <c r="C34" s="355"/>
      <c r="D34" s="354"/>
      <c r="E34" s="355"/>
      <c r="F34" s="354"/>
      <c r="G34" s="355"/>
      <c r="H34" s="354"/>
      <c r="I34" s="354"/>
      <c r="J34" s="355"/>
      <c r="K34" s="354"/>
      <c r="L34" s="355"/>
      <c r="M34" s="355"/>
      <c r="N34" s="355"/>
      <c r="O34" s="355"/>
      <c r="P34"/>
    </row>
    <row r="35" spans="1:16" ht="15" customHeight="1">
      <c r="B35" s="421" t="s">
        <v>732</v>
      </c>
      <c r="C35" s="356"/>
      <c r="D35" s="356"/>
      <c r="E35" s="356"/>
      <c r="F35" s="356"/>
      <c r="G35" s="356"/>
      <c r="H35" s="356"/>
      <c r="I35" s="356"/>
      <c r="J35" s="356"/>
      <c r="K35" s="356"/>
      <c r="L35" s="356"/>
      <c r="M35" s="356"/>
      <c r="N35" s="356"/>
      <c r="O35" s="356"/>
    </row>
    <row r="36" spans="1:16" ht="15" customHeight="1">
      <c r="B36" s="42" t="s">
        <v>793</v>
      </c>
      <c r="C36" s="112"/>
      <c r="D36" s="112"/>
      <c r="E36" s="112"/>
      <c r="F36" s="112"/>
      <c r="G36" s="112"/>
      <c r="H36" s="112"/>
      <c r="I36" s="112"/>
      <c r="J36" s="112"/>
      <c r="K36" s="112"/>
      <c r="L36" s="112"/>
      <c r="M36" s="112"/>
      <c r="N36" s="112"/>
      <c r="O36" s="112"/>
    </row>
    <row r="37" spans="1:16" ht="15" customHeight="1">
      <c r="B37" s="420" t="s">
        <v>794</v>
      </c>
      <c r="C37" s="350"/>
      <c r="D37" s="350"/>
      <c r="E37" s="350"/>
      <c r="F37" s="350"/>
      <c r="G37" s="350"/>
      <c r="H37" s="350"/>
      <c r="I37" s="350"/>
      <c r="J37" s="350"/>
      <c r="K37" s="350"/>
      <c r="L37" s="350"/>
      <c r="M37" s="350"/>
      <c r="N37" s="350"/>
      <c r="O37" s="350"/>
    </row>
    <row r="38" spans="1:16" ht="12.75" customHeight="1">
      <c r="B38" s="420" t="s">
        <v>795</v>
      </c>
      <c r="C38" s="207"/>
      <c r="D38" s="207"/>
      <c r="E38" s="207"/>
      <c r="F38" s="207"/>
      <c r="G38" s="207"/>
      <c r="H38" s="207"/>
      <c r="I38" s="207"/>
      <c r="J38" s="207"/>
      <c r="K38" s="207"/>
      <c r="L38" s="207"/>
      <c r="M38" s="207"/>
      <c r="N38" s="207"/>
      <c r="O38" s="207"/>
    </row>
    <row r="39" spans="1:16" ht="24" customHeight="1">
      <c r="B39" s="420" t="s">
        <v>796</v>
      </c>
      <c r="C39" s="349"/>
      <c r="D39" s="349"/>
      <c r="E39" s="349"/>
      <c r="F39" s="349"/>
      <c r="G39" s="349"/>
      <c r="H39" s="349"/>
      <c r="I39" s="349"/>
      <c r="J39" s="349"/>
      <c r="K39" s="349"/>
      <c r="L39" s="349"/>
      <c r="M39" s="349"/>
      <c r="N39" s="349"/>
      <c r="O39" s="349"/>
    </row>
    <row r="40" spans="1:16" ht="15" customHeight="1">
      <c r="B40" s="403" t="s">
        <v>797</v>
      </c>
      <c r="C40" s="357"/>
      <c r="D40" s="357"/>
      <c r="E40" s="357"/>
      <c r="F40" s="357"/>
      <c r="G40" s="357"/>
      <c r="H40" s="357"/>
      <c r="I40" s="357"/>
      <c r="J40" s="357"/>
      <c r="K40" s="357"/>
      <c r="L40" s="357"/>
      <c r="M40" s="357"/>
      <c r="N40" s="357"/>
      <c r="O40" s="357"/>
    </row>
    <row r="41" spans="1:16">
      <c r="B41" s="403" t="s">
        <v>1071</v>
      </c>
      <c r="C41" s="357"/>
      <c r="D41" s="357"/>
      <c r="E41" s="357"/>
      <c r="F41" s="357"/>
      <c r="G41" s="357"/>
      <c r="H41" s="357"/>
      <c r="I41" s="357"/>
      <c r="J41" s="357"/>
      <c r="K41" s="357"/>
      <c r="L41" s="357"/>
      <c r="M41" s="357"/>
      <c r="N41" s="357"/>
      <c r="O41" s="357"/>
    </row>
    <row r="42" spans="1:16">
      <c r="B42" s="422"/>
      <c r="C42" s="112"/>
      <c r="D42" s="112"/>
      <c r="E42" s="112"/>
      <c r="F42" s="112"/>
      <c r="G42" s="112"/>
      <c r="H42" s="112"/>
      <c r="I42" s="112"/>
      <c r="J42" s="112"/>
      <c r="K42" s="112"/>
      <c r="L42" s="112"/>
      <c r="M42" s="112"/>
      <c r="N42" s="112"/>
      <c r="O42" s="112"/>
    </row>
    <row r="43" spans="1:16">
      <c r="B43" s="436"/>
      <c r="C43" s="112"/>
      <c r="D43" s="112"/>
      <c r="E43" s="112"/>
      <c r="F43" s="112"/>
      <c r="G43" s="112"/>
      <c r="H43" s="112"/>
      <c r="I43" s="112"/>
      <c r="J43" s="112"/>
      <c r="K43" s="112"/>
      <c r="L43" s="112"/>
      <c r="M43" s="112"/>
      <c r="N43" s="112"/>
      <c r="O43" s="112"/>
    </row>
    <row r="44" spans="1:16">
      <c r="B44" s="437"/>
      <c r="C44" s="112"/>
      <c r="D44" s="112"/>
      <c r="E44" s="112"/>
      <c r="F44" s="112"/>
      <c r="G44" s="112"/>
      <c r="H44" s="112"/>
      <c r="I44" s="112"/>
      <c r="J44" s="112"/>
      <c r="K44" s="112"/>
      <c r="L44" s="112"/>
      <c r="M44" s="112"/>
      <c r="N44" s="112"/>
      <c r="O44" s="112"/>
    </row>
    <row r="45" spans="1:16">
      <c r="B45" s="437"/>
      <c r="C45" s="112"/>
      <c r="D45" s="112"/>
      <c r="E45" s="112"/>
      <c r="F45" s="112"/>
      <c r="G45" s="112"/>
      <c r="H45" s="112"/>
      <c r="I45" s="112"/>
      <c r="J45" s="112"/>
      <c r="K45" s="112"/>
      <c r="L45" s="112"/>
      <c r="M45" s="112"/>
      <c r="N45" s="112"/>
      <c r="O45" s="112"/>
    </row>
    <row r="46" spans="1:16">
      <c r="B46" s="42"/>
      <c r="C46" s="42"/>
      <c r="D46" s="42"/>
      <c r="E46" s="42"/>
      <c r="F46" s="42"/>
      <c r="G46" s="42"/>
      <c r="H46" s="42"/>
      <c r="I46" s="42"/>
      <c r="J46" s="42"/>
      <c r="K46" s="42"/>
      <c r="L46" s="42"/>
      <c r="M46" s="42"/>
      <c r="N46" s="42"/>
      <c r="O46" s="42"/>
    </row>
    <row r="47" spans="1:16">
      <c r="B47" s="42"/>
      <c r="C47" s="42"/>
      <c r="D47" s="42"/>
      <c r="E47" s="42"/>
      <c r="F47" s="42"/>
      <c r="G47" s="42"/>
      <c r="H47" s="42"/>
      <c r="I47" s="42"/>
      <c r="J47" s="42"/>
      <c r="K47" s="42"/>
      <c r="L47" s="42"/>
      <c r="M47" s="42"/>
      <c r="N47" s="42"/>
      <c r="O47" s="42"/>
    </row>
    <row r="48" spans="1:16">
      <c r="B48" s="42"/>
      <c r="C48" s="42"/>
      <c r="D48" s="42"/>
      <c r="E48" s="42"/>
      <c r="F48" s="42"/>
      <c r="G48" s="42"/>
      <c r="H48" s="42"/>
      <c r="I48" s="42"/>
      <c r="J48" s="42"/>
      <c r="K48" s="42"/>
      <c r="L48" s="42"/>
      <c r="M48" s="42"/>
      <c r="N48" s="42"/>
      <c r="O48" s="42"/>
    </row>
    <row r="49" spans="2:15">
      <c r="B49" s="42"/>
      <c r="C49" s="42"/>
      <c r="D49" s="42"/>
      <c r="E49" s="42"/>
      <c r="F49" s="42"/>
      <c r="G49" s="42"/>
      <c r="H49" s="42"/>
      <c r="I49" s="42"/>
      <c r="J49" s="42"/>
      <c r="K49" s="42"/>
      <c r="L49" s="42"/>
      <c r="M49" s="42"/>
      <c r="N49" s="42"/>
      <c r="O49" s="42"/>
    </row>
  </sheetData>
  <mergeCells count="10">
    <mergeCell ref="B6:R6"/>
    <mergeCell ref="N1:O1"/>
    <mergeCell ref="C9:D9"/>
    <mergeCell ref="L9:M9"/>
    <mergeCell ref="C8:H8"/>
    <mergeCell ref="J8:O8"/>
    <mergeCell ref="E9:F9"/>
    <mergeCell ref="G9:H9"/>
    <mergeCell ref="J9:K9"/>
    <mergeCell ref="N9:O9"/>
  </mergeCells>
  <hyperlinks>
    <hyperlink ref="N1:O1" location="Contents!A1" display="Return to contents" xr:uid="{CD851B87-A0FA-4C62-936A-FAC9A549EC0A}"/>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Y42"/>
  <sheetViews>
    <sheetView showGridLines="0" zoomScaleNormal="100" workbookViewId="0">
      <selection activeCell="U1" sqref="U1:V1"/>
    </sheetView>
  </sheetViews>
  <sheetFormatPr defaultRowHeight="15"/>
  <cols>
    <col min="2" max="2" width="24.42578125" customWidth="1"/>
    <col min="3" max="3" width="5" customWidth="1"/>
    <col min="4" max="4" width="7.85546875" bestFit="1" customWidth="1"/>
    <col min="5" max="5" width="2.7109375" customWidth="1"/>
    <col min="6" max="6" width="4" customWidth="1"/>
    <col min="7" max="7" width="7.85546875" customWidth="1"/>
    <col min="8" max="8" width="2.7109375" customWidth="1"/>
    <col min="9" max="9" width="4" bestFit="1" customWidth="1"/>
    <col min="10" max="10" width="7.85546875" bestFit="1" customWidth="1"/>
    <col min="11" max="11" width="2.7109375" customWidth="1"/>
    <col min="12" max="12" width="4" customWidth="1"/>
    <col min="13" max="13" width="9.140625" customWidth="1"/>
    <col min="14" max="14" width="2.7109375" customWidth="1"/>
    <col min="15" max="15" width="4" bestFit="1" customWidth="1"/>
    <col min="16" max="16" width="7.85546875" bestFit="1" customWidth="1"/>
    <col min="17" max="17" width="2.7109375" customWidth="1"/>
    <col min="18" max="18" width="4" customWidth="1"/>
    <col min="19" max="19" width="7.85546875" customWidth="1"/>
    <col min="20" max="20" width="2.7109375" customWidth="1"/>
    <col min="21" max="21" width="5.85546875" customWidth="1"/>
    <col min="23" max="23" width="2.7109375" customWidth="1"/>
    <col min="24" max="24" width="6.5703125" customWidth="1"/>
  </cols>
  <sheetData>
    <row r="1" spans="2:25" ht="16.5" thickTop="1" thickBot="1">
      <c r="P1" s="8"/>
      <c r="Q1" s="8"/>
      <c r="R1" s="8"/>
      <c r="U1" s="510" t="s">
        <v>3</v>
      </c>
      <c r="V1" s="511"/>
    </row>
    <row r="2" spans="2:25" ht="15.75" thickTop="1">
      <c r="P2" s="527"/>
      <c r="Q2" s="527"/>
      <c r="R2" s="528"/>
    </row>
    <row r="3" spans="2:25">
      <c r="P3" s="8"/>
      <c r="Q3" s="8"/>
      <c r="R3" s="8"/>
    </row>
    <row r="4" spans="2:25">
      <c r="P4" s="8"/>
      <c r="Q4" s="8"/>
      <c r="R4" s="8"/>
    </row>
    <row r="5" spans="2:25" ht="11.25" customHeight="1"/>
    <row r="6" spans="2:25" ht="33" customHeight="1">
      <c r="B6" s="530" t="s">
        <v>799</v>
      </c>
      <c r="C6" s="530"/>
      <c r="D6" s="530"/>
      <c r="E6" s="530"/>
      <c r="F6" s="530"/>
      <c r="G6" s="530"/>
      <c r="H6" s="530"/>
      <c r="I6" s="530"/>
      <c r="J6" s="530"/>
      <c r="K6" s="530"/>
      <c r="L6" s="530"/>
      <c r="M6" s="530"/>
      <c r="N6" s="530"/>
      <c r="O6" s="530"/>
      <c r="P6" s="530"/>
      <c r="Q6" s="530"/>
      <c r="R6" s="530"/>
      <c r="S6" s="530"/>
      <c r="T6" s="530"/>
      <c r="U6" s="530"/>
      <c r="V6" s="530"/>
      <c r="W6" s="530"/>
      <c r="X6" s="530"/>
      <c r="Y6" s="530"/>
    </row>
    <row r="7" spans="2:25" ht="30" customHeight="1">
      <c r="C7" s="529" t="s">
        <v>49</v>
      </c>
      <c r="D7" s="529"/>
      <c r="E7" s="529"/>
      <c r="F7" s="529"/>
      <c r="G7" s="529"/>
      <c r="H7" s="78"/>
      <c r="I7" s="529" t="s">
        <v>202</v>
      </c>
      <c r="J7" s="529"/>
      <c r="K7" s="529"/>
      <c r="L7" s="529"/>
      <c r="M7" s="529"/>
      <c r="N7" s="78"/>
      <c r="O7" s="529" t="s">
        <v>205</v>
      </c>
      <c r="P7" s="529"/>
      <c r="Q7" s="529"/>
      <c r="R7" s="529"/>
      <c r="S7" s="529"/>
      <c r="T7" s="78"/>
      <c r="U7" s="531" t="s">
        <v>540</v>
      </c>
      <c r="V7" s="531"/>
      <c r="W7" s="531"/>
      <c r="X7" s="531"/>
      <c r="Y7" s="531"/>
    </row>
    <row r="8" spans="2:25" ht="15" customHeight="1">
      <c r="B8" s="9" t="s">
        <v>206</v>
      </c>
      <c r="C8" s="525" t="s">
        <v>11</v>
      </c>
      <c r="D8" s="525"/>
      <c r="E8" s="71"/>
      <c r="F8" s="525" t="s">
        <v>12</v>
      </c>
      <c r="G8" s="525"/>
      <c r="H8" s="71"/>
      <c r="I8" s="525" t="s">
        <v>11</v>
      </c>
      <c r="J8" s="525"/>
      <c r="K8" s="71"/>
      <c r="L8" s="525" t="s">
        <v>12</v>
      </c>
      <c r="M8" s="525"/>
      <c r="N8" s="71"/>
      <c r="O8" s="525" t="s">
        <v>11</v>
      </c>
      <c r="P8" s="525"/>
      <c r="Q8" s="71"/>
      <c r="R8" s="525" t="s">
        <v>12</v>
      </c>
      <c r="S8" s="525"/>
      <c r="T8" s="71"/>
      <c r="U8" s="525" t="s">
        <v>11</v>
      </c>
      <c r="V8" s="525"/>
      <c r="W8" s="71"/>
      <c r="X8" s="525" t="s">
        <v>12</v>
      </c>
      <c r="Y8" s="525"/>
    </row>
    <row r="9" spans="2:25">
      <c r="B9" s="139" t="s">
        <v>15</v>
      </c>
      <c r="C9" s="138" t="s">
        <v>38</v>
      </c>
      <c r="D9" s="138" t="s">
        <v>91</v>
      </c>
      <c r="E9" s="138"/>
      <c r="F9" s="138" t="s">
        <v>38</v>
      </c>
      <c r="G9" s="138" t="s">
        <v>91</v>
      </c>
      <c r="H9" s="13"/>
      <c r="I9" s="138" t="s">
        <v>38</v>
      </c>
      <c r="J9" s="138" t="s">
        <v>91</v>
      </c>
      <c r="K9" s="138"/>
      <c r="L9" s="138" t="s">
        <v>38</v>
      </c>
      <c r="M9" s="138" t="s">
        <v>91</v>
      </c>
      <c r="N9" s="13"/>
      <c r="O9" s="138" t="s">
        <v>38</v>
      </c>
      <c r="P9" s="138" t="s">
        <v>91</v>
      </c>
      <c r="Q9" s="138"/>
      <c r="R9" s="138" t="s">
        <v>38</v>
      </c>
      <c r="S9" s="138" t="s">
        <v>91</v>
      </c>
      <c r="T9" s="138"/>
      <c r="U9" s="138" t="s">
        <v>38</v>
      </c>
      <c r="V9" s="138" t="s">
        <v>91</v>
      </c>
      <c r="W9" s="138"/>
      <c r="X9" s="138" t="s">
        <v>38</v>
      </c>
      <c r="Y9" s="138" t="s">
        <v>91</v>
      </c>
    </row>
    <row r="10" spans="2:25">
      <c r="B10" s="140" t="s">
        <v>6</v>
      </c>
      <c r="C10" s="221">
        <v>70.8</v>
      </c>
      <c r="D10" s="221" t="s">
        <v>92</v>
      </c>
      <c r="E10" s="221"/>
      <c r="F10" s="221">
        <v>64</v>
      </c>
      <c r="G10" s="221" t="s">
        <v>99</v>
      </c>
      <c r="H10" s="221"/>
      <c r="I10" s="221">
        <v>14.7</v>
      </c>
      <c r="J10" s="221" t="s">
        <v>533</v>
      </c>
      <c r="K10" s="221"/>
      <c r="L10" s="221">
        <v>17</v>
      </c>
      <c r="M10" s="221" t="s">
        <v>111</v>
      </c>
      <c r="N10" s="221"/>
      <c r="O10" s="221">
        <v>14.4</v>
      </c>
      <c r="P10" s="221" t="s">
        <v>117</v>
      </c>
      <c r="Q10" s="221"/>
      <c r="R10" s="221">
        <v>20.2</v>
      </c>
      <c r="S10" s="221" t="s">
        <v>535</v>
      </c>
      <c r="T10" s="221"/>
      <c r="U10" s="221">
        <v>29.233267790259905</v>
      </c>
      <c r="V10" s="221" t="s">
        <v>398</v>
      </c>
      <c r="W10" s="221"/>
      <c r="X10" s="221">
        <v>36.672009154663755</v>
      </c>
      <c r="Y10" s="221" t="s">
        <v>406</v>
      </c>
    </row>
    <row r="11" spans="2:25">
      <c r="B11" s="140" t="s">
        <v>7</v>
      </c>
      <c r="C11" s="221">
        <v>56.1</v>
      </c>
      <c r="D11" s="221" t="s">
        <v>93</v>
      </c>
      <c r="E11" s="221"/>
      <c r="F11" s="221">
        <v>47.2</v>
      </c>
      <c r="G11" s="221" t="s">
        <v>100</v>
      </c>
      <c r="H11" s="221"/>
      <c r="I11" s="221">
        <v>20.3</v>
      </c>
      <c r="J11" s="221" t="s">
        <v>105</v>
      </c>
      <c r="K11" s="221"/>
      <c r="L11" s="221">
        <v>18.8</v>
      </c>
      <c r="M11" s="221" t="s">
        <v>534</v>
      </c>
      <c r="N11" s="221"/>
      <c r="O11" s="221">
        <v>23.2</v>
      </c>
      <c r="P11" s="221" t="s">
        <v>118</v>
      </c>
      <c r="Q11" s="221"/>
      <c r="R11" s="221">
        <v>34.1</v>
      </c>
      <c r="S11" s="221" t="s">
        <v>124</v>
      </c>
      <c r="T11" s="221"/>
      <c r="U11" s="221">
        <v>43.766270783461465</v>
      </c>
      <c r="V11" s="221" t="s">
        <v>399</v>
      </c>
      <c r="W11" s="221"/>
      <c r="X11" s="221">
        <v>52.863470659574766</v>
      </c>
      <c r="Y11" s="221" t="s">
        <v>407</v>
      </c>
    </row>
    <row r="12" spans="2:25">
      <c r="B12" s="140" t="s">
        <v>8</v>
      </c>
      <c r="C12" s="221">
        <v>44.3</v>
      </c>
      <c r="D12" s="221" t="s">
        <v>94</v>
      </c>
      <c r="E12" s="221"/>
      <c r="F12" s="221">
        <v>35</v>
      </c>
      <c r="G12" s="221" t="s">
        <v>101</v>
      </c>
      <c r="H12" s="221"/>
      <c r="I12" s="221">
        <v>23.9</v>
      </c>
      <c r="J12" s="221" t="s">
        <v>106</v>
      </c>
      <c r="K12" s="221"/>
      <c r="L12" s="221">
        <v>22.8</v>
      </c>
      <c r="M12" s="221" t="s">
        <v>112</v>
      </c>
      <c r="N12" s="221"/>
      <c r="O12" s="221">
        <v>32.200000000000003</v>
      </c>
      <c r="P12" s="221" t="s">
        <v>119</v>
      </c>
      <c r="Q12" s="221"/>
      <c r="R12" s="221">
        <v>42.2</v>
      </c>
      <c r="S12" s="221" t="s">
        <v>125</v>
      </c>
      <c r="T12" s="221"/>
      <c r="U12" s="221">
        <v>55.968070635359858</v>
      </c>
      <c r="V12" s="221" t="s">
        <v>400</v>
      </c>
      <c r="W12" s="221"/>
      <c r="X12" s="221">
        <v>65.004290268931229</v>
      </c>
      <c r="Y12" s="221" t="s">
        <v>408</v>
      </c>
    </row>
    <row r="13" spans="2:25">
      <c r="B13" s="140" t="s">
        <v>9</v>
      </c>
      <c r="C13" s="221">
        <v>30</v>
      </c>
      <c r="D13" s="221" t="s">
        <v>95</v>
      </c>
      <c r="E13" s="221"/>
      <c r="F13" s="221">
        <v>28.7</v>
      </c>
      <c r="G13" s="221" t="s">
        <v>102</v>
      </c>
      <c r="H13" s="221"/>
      <c r="I13" s="221">
        <v>26.8</v>
      </c>
      <c r="J13" s="221" t="s">
        <v>107</v>
      </c>
      <c r="K13" s="221"/>
      <c r="L13" s="221">
        <v>18.8</v>
      </c>
      <c r="M13" s="221" t="s">
        <v>113</v>
      </c>
      <c r="N13" s="221"/>
      <c r="O13" s="221">
        <v>42.9</v>
      </c>
      <c r="P13" s="221" t="s">
        <v>120</v>
      </c>
      <c r="Q13" s="221"/>
      <c r="R13" s="221">
        <v>52.8</v>
      </c>
      <c r="S13" s="221" t="s">
        <v>126</v>
      </c>
      <c r="T13" s="221"/>
      <c r="U13" s="221">
        <v>69.89896272645592</v>
      </c>
      <c r="V13" s="221" t="s">
        <v>401</v>
      </c>
      <c r="W13" s="221"/>
      <c r="X13" s="221">
        <v>71.493936568628612</v>
      </c>
      <c r="Y13" s="221" t="s">
        <v>409</v>
      </c>
    </row>
    <row r="14" spans="2:25">
      <c r="B14" s="140" t="s">
        <v>10</v>
      </c>
      <c r="C14" s="221">
        <v>25.3</v>
      </c>
      <c r="D14" s="221" t="s">
        <v>96</v>
      </c>
      <c r="E14" s="221"/>
      <c r="F14" s="221">
        <v>23.5</v>
      </c>
      <c r="G14" s="221" t="s">
        <v>103</v>
      </c>
      <c r="H14" s="221"/>
      <c r="I14" s="221">
        <v>28.3</v>
      </c>
      <c r="J14" s="221" t="s">
        <v>108</v>
      </c>
      <c r="K14" s="221"/>
      <c r="L14" s="221">
        <v>22.7</v>
      </c>
      <c r="M14" s="221" t="s">
        <v>114</v>
      </c>
      <c r="N14" s="221"/>
      <c r="O14" s="221">
        <v>46.3</v>
      </c>
      <c r="P14" s="221" t="s">
        <v>121</v>
      </c>
      <c r="Q14" s="221"/>
      <c r="R14" s="221">
        <v>53.6</v>
      </c>
      <c r="S14" s="221" t="s">
        <v>127</v>
      </c>
      <c r="T14" s="221"/>
      <c r="U14" s="221">
        <v>74.698780314037094</v>
      </c>
      <c r="V14" s="221" t="s">
        <v>402</v>
      </c>
      <c r="W14" s="221"/>
      <c r="X14" s="221">
        <v>76.488443824449845</v>
      </c>
      <c r="Y14" s="221" t="s">
        <v>410</v>
      </c>
    </row>
    <row r="15" spans="2:25">
      <c r="B15" s="140" t="s">
        <v>13</v>
      </c>
      <c r="C15" s="221">
        <v>19.3</v>
      </c>
      <c r="D15" s="221" t="s">
        <v>97</v>
      </c>
      <c r="E15" s="221"/>
      <c r="F15" s="221">
        <v>17.3</v>
      </c>
      <c r="G15" s="221" t="s">
        <v>532</v>
      </c>
      <c r="H15" s="221"/>
      <c r="I15" s="221">
        <v>24.1</v>
      </c>
      <c r="J15" s="221" t="s">
        <v>109</v>
      </c>
      <c r="K15" s="221"/>
      <c r="L15" s="221">
        <v>20.6</v>
      </c>
      <c r="M15" s="221" t="s">
        <v>115</v>
      </c>
      <c r="N15" s="221"/>
      <c r="O15" s="221">
        <v>56.7</v>
      </c>
      <c r="P15" s="221" t="s">
        <v>122</v>
      </c>
      <c r="Q15" s="221"/>
      <c r="R15" s="221">
        <v>63</v>
      </c>
      <c r="S15" s="221" t="s">
        <v>128</v>
      </c>
      <c r="T15" s="221"/>
      <c r="U15" s="221">
        <v>80.561458591161625</v>
      </c>
      <c r="V15" s="221" t="s">
        <v>403</v>
      </c>
      <c r="W15" s="221"/>
      <c r="X15" s="221">
        <v>83.009950889730987</v>
      </c>
      <c r="Y15" s="221" t="s">
        <v>411</v>
      </c>
    </row>
    <row r="16" spans="2:25">
      <c r="B16" s="140" t="s">
        <v>14</v>
      </c>
      <c r="C16" s="221">
        <v>24.8</v>
      </c>
      <c r="D16" s="221" t="s">
        <v>430</v>
      </c>
      <c r="E16" s="221"/>
      <c r="F16" s="221">
        <v>16.399999999999999</v>
      </c>
      <c r="G16" s="221" t="s">
        <v>431</v>
      </c>
      <c r="H16" s="221"/>
      <c r="I16" s="221">
        <v>26</v>
      </c>
      <c r="J16" s="221" t="s">
        <v>432</v>
      </c>
      <c r="K16" s="221"/>
      <c r="L16" s="221">
        <v>20.3</v>
      </c>
      <c r="M16" s="221" t="s">
        <v>433</v>
      </c>
      <c r="N16" s="221"/>
      <c r="O16" s="221">
        <v>48.9</v>
      </c>
      <c r="P16" s="221" t="s">
        <v>434</v>
      </c>
      <c r="Q16" s="221"/>
      <c r="R16" s="221">
        <v>63.1</v>
      </c>
      <c r="S16" s="221" t="s">
        <v>435</v>
      </c>
      <c r="T16" s="221"/>
      <c r="U16" s="221">
        <v>75.059232309305187</v>
      </c>
      <c r="V16" s="221" t="s">
        <v>404</v>
      </c>
      <c r="W16" s="221"/>
      <c r="X16" s="221">
        <v>83.501750893052844</v>
      </c>
      <c r="Y16" s="221" t="s">
        <v>412</v>
      </c>
    </row>
    <row r="17" spans="2:25">
      <c r="B17" s="140" t="s">
        <v>55</v>
      </c>
      <c r="C17" s="221">
        <v>40.4</v>
      </c>
      <c r="D17" s="221" t="s">
        <v>98</v>
      </c>
      <c r="E17" s="221"/>
      <c r="F17" s="221">
        <v>34.200000000000003</v>
      </c>
      <c r="G17" s="221" t="s">
        <v>104</v>
      </c>
      <c r="H17" s="221"/>
      <c r="I17" s="221">
        <v>23.4</v>
      </c>
      <c r="J17" s="221" t="s">
        <v>110</v>
      </c>
      <c r="K17" s="221"/>
      <c r="L17" s="221">
        <v>20.2</v>
      </c>
      <c r="M17" s="221" t="s">
        <v>116</v>
      </c>
      <c r="N17" s="221"/>
      <c r="O17" s="221">
        <v>36.200000000000003</v>
      </c>
      <c r="P17" s="221" t="s">
        <v>123</v>
      </c>
      <c r="Q17" s="221"/>
      <c r="R17" s="221">
        <v>45.8</v>
      </c>
      <c r="S17" s="221" t="s">
        <v>129</v>
      </c>
      <c r="T17" s="221"/>
      <c r="U17" s="221">
        <v>59.609720011358682</v>
      </c>
      <c r="V17" s="221" t="s">
        <v>405</v>
      </c>
      <c r="W17" s="221"/>
      <c r="X17" s="221">
        <v>65.875648276270525</v>
      </c>
      <c r="Y17" s="221" t="s">
        <v>413</v>
      </c>
    </row>
    <row r="18" spans="2:25">
      <c r="B18" s="100"/>
      <c r="C18" s="222"/>
      <c r="D18" s="222"/>
      <c r="E18" s="222"/>
      <c r="F18" s="222"/>
      <c r="G18" s="222"/>
      <c r="H18" s="222"/>
      <c r="I18" s="222"/>
      <c r="J18" s="222"/>
      <c r="K18" s="222"/>
      <c r="L18" s="222"/>
      <c r="M18" s="222"/>
      <c r="N18" s="222"/>
      <c r="O18" s="222"/>
      <c r="P18" s="222"/>
      <c r="Q18" s="222"/>
      <c r="R18" s="222"/>
      <c r="S18" s="222"/>
      <c r="T18" s="222"/>
      <c r="U18" s="222"/>
      <c r="V18" s="222"/>
      <c r="W18" s="222"/>
      <c r="X18" s="222"/>
      <c r="Y18" s="222"/>
    </row>
    <row r="19" spans="2:25" ht="15" customHeight="1">
      <c r="B19" s="139" t="s">
        <v>192</v>
      </c>
      <c r="C19" s="222"/>
      <c r="D19" s="223"/>
      <c r="E19" s="223"/>
      <c r="F19" s="223"/>
      <c r="G19" s="223"/>
      <c r="H19" s="223"/>
      <c r="I19" s="223"/>
      <c r="J19" s="223"/>
      <c r="K19" s="223"/>
      <c r="L19" s="223"/>
      <c r="M19" s="223"/>
      <c r="N19" s="223"/>
      <c r="O19" s="223"/>
      <c r="P19" s="223"/>
      <c r="Q19" s="223"/>
      <c r="R19" s="223"/>
      <c r="S19" s="223"/>
      <c r="T19" s="223"/>
      <c r="U19" s="223"/>
      <c r="V19" s="223"/>
      <c r="W19" s="223"/>
      <c r="X19" s="222"/>
      <c r="Y19" s="222"/>
    </row>
    <row r="20" spans="2:25">
      <c r="B20" s="140" t="s">
        <v>52</v>
      </c>
      <c r="C20" s="136">
        <v>42.1</v>
      </c>
      <c r="D20" s="136" t="s">
        <v>143</v>
      </c>
      <c r="E20" s="136"/>
      <c r="F20" s="136">
        <v>36.799999999999997</v>
      </c>
      <c r="G20" s="136" t="s">
        <v>151</v>
      </c>
      <c r="H20" s="136"/>
      <c r="I20" s="136">
        <v>23.9</v>
      </c>
      <c r="J20" s="136" t="s">
        <v>147</v>
      </c>
      <c r="K20" s="136"/>
      <c r="L20" s="136">
        <v>20.399999999999999</v>
      </c>
      <c r="M20" s="136" t="s">
        <v>154</v>
      </c>
      <c r="N20" s="136"/>
      <c r="O20" s="136">
        <v>33.799999999999997</v>
      </c>
      <c r="P20" s="136" t="s">
        <v>144</v>
      </c>
      <c r="Q20" s="136"/>
      <c r="R20" s="136">
        <v>42.7</v>
      </c>
      <c r="S20" s="136" t="s">
        <v>157</v>
      </c>
      <c r="T20" s="136"/>
      <c r="U20" s="221">
        <v>57.8</v>
      </c>
      <c r="V20" s="221" t="s">
        <v>414</v>
      </c>
      <c r="W20" s="221"/>
      <c r="X20" s="221">
        <v>63.1</v>
      </c>
      <c r="Y20" s="221" t="s">
        <v>422</v>
      </c>
    </row>
    <row r="21" spans="2:25">
      <c r="B21" s="140" t="s">
        <v>53</v>
      </c>
      <c r="C21" s="136">
        <v>38.5</v>
      </c>
      <c r="D21" s="136" t="s">
        <v>145</v>
      </c>
      <c r="E21" s="136"/>
      <c r="F21" s="136">
        <v>30.8</v>
      </c>
      <c r="G21" s="136" t="s">
        <v>152</v>
      </c>
      <c r="H21" s="136"/>
      <c r="I21" s="136">
        <v>21.4</v>
      </c>
      <c r="J21" s="136" t="s">
        <v>82</v>
      </c>
      <c r="K21" s="136"/>
      <c r="L21" s="136">
        <v>19.600000000000001</v>
      </c>
      <c r="M21" s="136" t="s">
        <v>155</v>
      </c>
      <c r="N21" s="136"/>
      <c r="O21" s="136">
        <v>40.1</v>
      </c>
      <c r="P21" s="136" t="s">
        <v>149</v>
      </c>
      <c r="Q21" s="136"/>
      <c r="R21" s="136">
        <v>49.4</v>
      </c>
      <c r="S21" s="136" t="s">
        <v>158</v>
      </c>
      <c r="T21" s="136"/>
      <c r="U21" s="221">
        <v>61.5</v>
      </c>
      <c r="V21" s="221" t="s">
        <v>415</v>
      </c>
      <c r="W21" s="221"/>
      <c r="X21" s="221">
        <v>68.900000000000006</v>
      </c>
      <c r="Y21" s="221" t="s">
        <v>423</v>
      </c>
    </row>
    <row r="22" spans="2:25">
      <c r="B22" s="140" t="s">
        <v>54</v>
      </c>
      <c r="C22" s="136">
        <v>38.700000000000003</v>
      </c>
      <c r="D22" s="136" t="s">
        <v>146</v>
      </c>
      <c r="E22" s="136"/>
      <c r="F22" s="136">
        <v>30.9</v>
      </c>
      <c r="G22" s="136" t="s">
        <v>153</v>
      </c>
      <c r="H22" s="136"/>
      <c r="I22" s="136">
        <v>21.6</v>
      </c>
      <c r="J22" s="136" t="s">
        <v>148</v>
      </c>
      <c r="K22" s="136"/>
      <c r="L22" s="136">
        <v>18.600000000000001</v>
      </c>
      <c r="M22" s="136" t="s">
        <v>156</v>
      </c>
      <c r="N22" s="136"/>
      <c r="O22" s="136">
        <v>39.700000000000003</v>
      </c>
      <c r="P22" s="136" t="s">
        <v>150</v>
      </c>
      <c r="Q22" s="136"/>
      <c r="R22" s="136">
        <v>50.9</v>
      </c>
      <c r="S22" s="136" t="s">
        <v>159</v>
      </c>
      <c r="T22" s="136"/>
      <c r="U22" s="221">
        <v>61.2</v>
      </c>
      <c r="V22" s="221" t="s">
        <v>416</v>
      </c>
      <c r="W22" s="221"/>
      <c r="X22" s="221">
        <v>68.599999999999994</v>
      </c>
      <c r="Y22" s="221" t="s">
        <v>424</v>
      </c>
    </row>
    <row r="23" spans="2:25">
      <c r="B23" s="100"/>
      <c r="C23" s="224"/>
      <c r="D23" s="224"/>
      <c r="E23" s="224"/>
      <c r="F23" s="224"/>
      <c r="G23" s="224"/>
      <c r="H23" s="224"/>
      <c r="I23" s="224"/>
      <c r="J23" s="224"/>
      <c r="K23" s="224"/>
      <c r="L23" s="224"/>
      <c r="M23" s="224"/>
      <c r="N23" s="224"/>
      <c r="O23" s="224"/>
      <c r="P23" s="224"/>
      <c r="Q23" s="224"/>
      <c r="R23" s="224"/>
      <c r="S23" s="224"/>
      <c r="T23" s="224"/>
      <c r="U23" s="222"/>
      <c r="V23" s="222"/>
      <c r="W23" s="222"/>
      <c r="X23" s="222"/>
      <c r="Y23" s="222"/>
    </row>
    <row r="24" spans="2:25">
      <c r="B24" s="130" t="s">
        <v>462</v>
      </c>
      <c r="C24" s="222"/>
      <c r="D24" s="222"/>
      <c r="E24" s="222"/>
      <c r="F24" s="222"/>
      <c r="G24" s="222"/>
      <c r="H24" s="222"/>
      <c r="I24" s="222"/>
      <c r="J24" s="222"/>
      <c r="K24" s="222"/>
      <c r="L24" s="222"/>
      <c r="M24" s="222"/>
      <c r="N24" s="222"/>
      <c r="O24" s="222"/>
      <c r="P24" s="222"/>
      <c r="Q24" s="222"/>
      <c r="R24" s="222"/>
      <c r="S24" s="222"/>
      <c r="T24" s="222"/>
      <c r="U24" s="222"/>
      <c r="V24" s="222"/>
      <c r="W24" s="222"/>
      <c r="X24" s="222"/>
      <c r="Y24" s="222"/>
    </row>
    <row r="25" spans="2:25">
      <c r="B25" s="131" t="s">
        <v>463</v>
      </c>
      <c r="C25" s="136">
        <v>38.5</v>
      </c>
      <c r="D25" s="136" t="s">
        <v>160</v>
      </c>
      <c r="E25" s="136"/>
      <c r="F25" s="136">
        <v>28.2</v>
      </c>
      <c r="G25" s="136" t="s">
        <v>166</v>
      </c>
      <c r="H25" s="136"/>
      <c r="I25" s="136">
        <v>20.7</v>
      </c>
      <c r="J25" s="136" t="s">
        <v>161</v>
      </c>
      <c r="K25" s="136"/>
      <c r="L25" s="136">
        <v>19.5</v>
      </c>
      <c r="M25" s="136" t="s">
        <v>175</v>
      </c>
      <c r="N25" s="136"/>
      <c r="O25" s="136">
        <v>40.700000000000003</v>
      </c>
      <c r="P25" s="136" t="s">
        <v>180</v>
      </c>
      <c r="Q25" s="136"/>
      <c r="R25" s="136">
        <v>51.9</v>
      </c>
      <c r="S25" s="136" t="s">
        <v>185</v>
      </c>
      <c r="T25" s="136"/>
      <c r="U25" s="221">
        <v>61.7</v>
      </c>
      <c r="V25" s="221" t="s">
        <v>417</v>
      </c>
      <c r="W25" s="221"/>
      <c r="X25" s="221">
        <v>71.400000000000006</v>
      </c>
      <c r="Y25" s="221" t="s">
        <v>425</v>
      </c>
    </row>
    <row r="26" spans="2:25">
      <c r="B26" s="131">
        <v>2</v>
      </c>
      <c r="C26" s="136">
        <v>38.700000000000003</v>
      </c>
      <c r="D26" s="136" t="s">
        <v>162</v>
      </c>
      <c r="E26" s="136"/>
      <c r="F26" s="136">
        <v>32</v>
      </c>
      <c r="G26" s="136" t="s">
        <v>167</v>
      </c>
      <c r="H26" s="136"/>
      <c r="I26" s="136">
        <v>21</v>
      </c>
      <c r="J26" s="136" t="s">
        <v>171</v>
      </c>
      <c r="K26" s="136"/>
      <c r="L26" s="136">
        <v>18.600000000000001</v>
      </c>
      <c r="M26" s="136" t="s">
        <v>176</v>
      </c>
      <c r="N26" s="136"/>
      <c r="O26" s="136">
        <v>40.299999999999997</v>
      </c>
      <c r="P26" s="136" t="s">
        <v>181</v>
      </c>
      <c r="Q26" s="136"/>
      <c r="R26" s="136">
        <v>49.6</v>
      </c>
      <c r="S26" s="136" t="s">
        <v>186</v>
      </c>
      <c r="T26" s="136"/>
      <c r="U26" s="221">
        <v>61.1</v>
      </c>
      <c r="V26" s="221" t="s">
        <v>418</v>
      </c>
      <c r="W26" s="221"/>
      <c r="X26" s="221">
        <v>67.900000000000006</v>
      </c>
      <c r="Y26" s="221" t="s">
        <v>426</v>
      </c>
    </row>
    <row r="27" spans="2:25">
      <c r="B27" s="131">
        <v>3</v>
      </c>
      <c r="C27" s="136">
        <v>40.4</v>
      </c>
      <c r="D27" s="136" t="s">
        <v>163</v>
      </c>
      <c r="E27" s="136"/>
      <c r="F27" s="136">
        <v>34.1</v>
      </c>
      <c r="G27" s="136" t="s">
        <v>168</v>
      </c>
      <c r="H27" s="136"/>
      <c r="I27" s="136">
        <v>25</v>
      </c>
      <c r="J27" s="136" t="s">
        <v>172</v>
      </c>
      <c r="K27" s="136"/>
      <c r="L27" s="136">
        <v>22.1</v>
      </c>
      <c r="M27" s="136" t="s">
        <v>177</v>
      </c>
      <c r="N27" s="136"/>
      <c r="O27" s="136">
        <v>34.5</v>
      </c>
      <c r="P27" s="136" t="s">
        <v>182</v>
      </c>
      <c r="Q27" s="136"/>
      <c r="R27" s="136">
        <v>43.6</v>
      </c>
      <c r="S27" s="136" t="s">
        <v>187</v>
      </c>
      <c r="T27" s="136"/>
      <c r="U27" s="221">
        <v>59.4</v>
      </c>
      <c r="V27" s="221" t="s">
        <v>419</v>
      </c>
      <c r="W27" s="221"/>
      <c r="X27" s="221">
        <v>65.400000000000006</v>
      </c>
      <c r="Y27" s="221" t="s">
        <v>427</v>
      </c>
    </row>
    <row r="28" spans="2:25">
      <c r="B28" s="131">
        <v>4</v>
      </c>
      <c r="C28" s="136">
        <v>41</v>
      </c>
      <c r="D28" s="136" t="s">
        <v>164</v>
      </c>
      <c r="E28" s="136"/>
      <c r="F28" s="136">
        <v>37.200000000000003</v>
      </c>
      <c r="G28" s="136" t="s">
        <v>169</v>
      </c>
      <c r="H28" s="136"/>
      <c r="I28" s="136">
        <v>24.3</v>
      </c>
      <c r="J28" s="136" t="s">
        <v>173</v>
      </c>
      <c r="K28" s="136"/>
      <c r="L28" s="136">
        <v>18.7</v>
      </c>
      <c r="M28" s="136" t="s">
        <v>178</v>
      </c>
      <c r="N28" s="136"/>
      <c r="O28" s="136">
        <v>34.1</v>
      </c>
      <c r="P28" s="136" t="s">
        <v>183</v>
      </c>
      <c r="Q28" s="136"/>
      <c r="R28" s="136">
        <v>43.7</v>
      </c>
      <c r="S28" s="136" t="s">
        <v>188</v>
      </c>
      <c r="T28" s="136"/>
      <c r="U28" s="221">
        <v>58.8</v>
      </c>
      <c r="V28" s="221" t="s">
        <v>420</v>
      </c>
      <c r="W28" s="221"/>
      <c r="X28" s="221">
        <v>62.3</v>
      </c>
      <c r="Y28" s="221" t="s">
        <v>428</v>
      </c>
    </row>
    <row r="29" spans="2:25" ht="15.75" customHeight="1">
      <c r="B29" s="133" t="s">
        <v>464</v>
      </c>
      <c r="C29" s="225">
        <v>46.8</v>
      </c>
      <c r="D29" s="225" t="s">
        <v>165</v>
      </c>
      <c r="E29" s="225"/>
      <c r="F29" s="225">
        <v>44.2</v>
      </c>
      <c r="G29" s="225" t="s">
        <v>170</v>
      </c>
      <c r="H29" s="225"/>
      <c r="I29" s="225">
        <v>25.4</v>
      </c>
      <c r="J29" s="225" t="s">
        <v>174</v>
      </c>
      <c r="K29" s="225"/>
      <c r="L29" s="225">
        <v>20.8</v>
      </c>
      <c r="M29" s="225" t="s">
        <v>179</v>
      </c>
      <c r="N29" s="225"/>
      <c r="O29" s="225">
        <v>28.1</v>
      </c>
      <c r="P29" s="225" t="s">
        <v>184</v>
      </c>
      <c r="Q29" s="225"/>
      <c r="R29" s="225">
        <v>34.799999999999997</v>
      </c>
      <c r="S29" s="225" t="s">
        <v>189</v>
      </c>
      <c r="T29" s="225"/>
      <c r="U29" s="226">
        <v>53.2</v>
      </c>
      <c r="V29" s="226" t="s">
        <v>421</v>
      </c>
      <c r="W29" s="226"/>
      <c r="X29" s="226">
        <v>55.5</v>
      </c>
      <c r="Y29" s="226" t="s">
        <v>429</v>
      </c>
    </row>
    <row r="30" spans="2:25" ht="15" customHeight="1">
      <c r="B30" s="526" t="s">
        <v>470</v>
      </c>
      <c r="C30" s="526"/>
      <c r="D30" s="526"/>
      <c r="E30" s="526"/>
      <c r="F30" s="526"/>
      <c r="G30" s="526"/>
      <c r="H30" s="526"/>
      <c r="I30" s="526"/>
      <c r="J30" s="526"/>
      <c r="K30" s="526"/>
      <c r="L30" s="526"/>
      <c r="M30" s="526"/>
      <c r="N30" s="526"/>
      <c r="O30" s="526"/>
      <c r="P30" s="526"/>
      <c r="Q30" s="526"/>
      <c r="R30" s="526"/>
      <c r="S30" s="526"/>
      <c r="T30" s="526"/>
      <c r="U30" s="526"/>
      <c r="V30" s="526"/>
      <c r="W30" s="122"/>
    </row>
    <row r="31" spans="2:25">
      <c r="B31" s="124" t="s">
        <v>469</v>
      </c>
      <c r="C31" s="122"/>
      <c r="D31" s="122"/>
      <c r="E31" s="122"/>
      <c r="F31" s="122"/>
      <c r="G31" s="122"/>
      <c r="H31" s="122"/>
      <c r="I31" s="122"/>
      <c r="J31" s="122"/>
      <c r="K31" s="122"/>
      <c r="L31" s="122"/>
      <c r="M31" s="122"/>
      <c r="N31" s="122"/>
      <c r="O31" s="122"/>
      <c r="P31" s="122"/>
      <c r="Q31" s="122"/>
      <c r="R31" s="122"/>
      <c r="S31" s="122"/>
      <c r="T31" s="122"/>
      <c r="U31" s="122"/>
      <c r="V31" s="122"/>
      <c r="W31" s="122"/>
    </row>
    <row r="32" spans="2:25">
      <c r="B32" s="526" t="s">
        <v>203</v>
      </c>
      <c r="C32" s="526"/>
      <c r="D32" s="526"/>
      <c r="E32" s="526"/>
      <c r="F32" s="526"/>
      <c r="G32" s="526"/>
      <c r="H32" s="526"/>
      <c r="I32" s="526"/>
      <c r="J32" s="526"/>
      <c r="K32" s="526"/>
      <c r="L32" s="526"/>
      <c r="M32" s="526"/>
      <c r="N32" s="526"/>
      <c r="O32" s="526"/>
      <c r="P32" s="526"/>
      <c r="Q32" s="526"/>
      <c r="R32" s="526"/>
    </row>
    <row r="33" spans="2:23" ht="13.5" customHeight="1">
      <c r="B33" s="526" t="s">
        <v>204</v>
      </c>
      <c r="C33" s="526"/>
      <c r="D33" s="526"/>
      <c r="E33" s="526"/>
      <c r="F33" s="526"/>
      <c r="G33" s="526"/>
      <c r="H33" s="526"/>
      <c r="I33" s="526"/>
      <c r="J33" s="526"/>
      <c r="K33" s="526"/>
      <c r="L33" s="526"/>
      <c r="M33" s="526"/>
      <c r="N33" s="526"/>
      <c r="O33" s="526"/>
      <c r="P33" s="526"/>
      <c r="Q33" s="526"/>
      <c r="R33" s="526"/>
    </row>
    <row r="34" spans="2:23">
      <c r="B34" s="79" t="s">
        <v>193</v>
      </c>
      <c r="C34" s="62"/>
      <c r="D34" s="62"/>
      <c r="E34" s="62"/>
      <c r="F34" s="62"/>
      <c r="G34" s="62"/>
      <c r="H34" s="62"/>
      <c r="I34" s="62"/>
      <c r="J34" s="62"/>
      <c r="K34" s="62"/>
      <c r="L34" s="62"/>
      <c r="M34" s="62"/>
      <c r="N34" s="62"/>
      <c r="O34" s="62"/>
      <c r="P34" s="62"/>
      <c r="Q34" s="62"/>
      <c r="R34" s="62"/>
      <c r="S34" s="62"/>
      <c r="T34" s="62"/>
    </row>
    <row r="35" spans="2:23">
      <c r="B35" s="521" t="s">
        <v>39</v>
      </c>
      <c r="C35" s="521"/>
      <c r="D35" s="521"/>
      <c r="E35" s="521"/>
      <c r="F35" s="521"/>
    </row>
    <row r="36" spans="2:23" ht="15" customHeight="1">
      <c r="B36" s="522" t="s">
        <v>48</v>
      </c>
      <c r="C36" s="522"/>
      <c r="D36" s="522"/>
      <c r="E36" s="522"/>
      <c r="F36" s="522"/>
    </row>
    <row r="37" spans="2:23">
      <c r="B37" s="523" t="s">
        <v>194</v>
      </c>
      <c r="C37" s="523"/>
      <c r="D37" s="523"/>
      <c r="E37" s="523"/>
      <c r="F37" s="523"/>
      <c r="G37" s="523"/>
      <c r="H37" s="523"/>
      <c r="I37" s="523"/>
      <c r="J37" s="523"/>
      <c r="K37" s="523"/>
      <c r="L37" s="523"/>
      <c r="M37" s="523"/>
      <c r="N37" s="523"/>
      <c r="O37" s="523"/>
      <c r="P37" s="523"/>
      <c r="Q37" s="523"/>
      <c r="R37" s="523"/>
      <c r="S37" s="523"/>
      <c r="T37" s="523"/>
      <c r="U37" s="523"/>
    </row>
    <row r="38" spans="2:23" ht="15" customHeight="1">
      <c r="B38" s="524" t="s">
        <v>196</v>
      </c>
      <c r="C38" s="524"/>
      <c r="D38" s="524"/>
      <c r="E38" s="524"/>
      <c r="F38" s="524"/>
      <c r="G38" s="524"/>
      <c r="H38" s="524"/>
      <c r="I38" s="524"/>
      <c r="J38" s="524"/>
      <c r="K38" s="524"/>
      <c r="L38" s="524"/>
      <c r="M38" s="524"/>
      <c r="N38" s="524"/>
      <c r="O38" s="524"/>
      <c r="P38" s="524"/>
      <c r="Q38" s="524"/>
      <c r="R38" s="524"/>
      <c r="S38" s="524"/>
      <c r="T38" s="524"/>
      <c r="U38" s="524"/>
      <c r="V38" s="524"/>
      <c r="W38" s="75"/>
    </row>
    <row r="39" spans="2:23">
      <c r="B39" s="61" t="s">
        <v>197</v>
      </c>
      <c r="C39" s="75"/>
      <c r="D39" s="75"/>
      <c r="E39" s="75"/>
      <c r="F39" s="75"/>
      <c r="G39" s="75"/>
      <c r="H39" s="75"/>
      <c r="I39" s="75"/>
      <c r="J39" s="75"/>
      <c r="K39" s="75"/>
      <c r="L39" s="75"/>
      <c r="M39" s="75"/>
      <c r="N39" s="75"/>
    </row>
    <row r="40" spans="2:23">
      <c r="B40" s="61" t="s">
        <v>514</v>
      </c>
    </row>
    <row r="41" spans="2:23">
      <c r="B41" s="142" t="s">
        <v>1085</v>
      </c>
    </row>
    <row r="42" spans="2:23">
      <c r="B42" s="142" t="s">
        <v>1086</v>
      </c>
    </row>
  </sheetData>
  <mergeCells count="22">
    <mergeCell ref="X8:Y8"/>
    <mergeCell ref="B30:V30"/>
    <mergeCell ref="B32:R32"/>
    <mergeCell ref="B33:R33"/>
    <mergeCell ref="U1:V1"/>
    <mergeCell ref="P2:R2"/>
    <mergeCell ref="C7:G7"/>
    <mergeCell ref="I7:M7"/>
    <mergeCell ref="O7:S7"/>
    <mergeCell ref="B6:Y6"/>
    <mergeCell ref="U7:Y7"/>
    <mergeCell ref="R8:S8"/>
    <mergeCell ref="C8:D8"/>
    <mergeCell ref="F8:G8"/>
    <mergeCell ref="I8:J8"/>
    <mergeCell ref="L8:M8"/>
    <mergeCell ref="B35:F35"/>
    <mergeCell ref="B36:F36"/>
    <mergeCell ref="B37:U37"/>
    <mergeCell ref="B38:V38"/>
    <mergeCell ref="U8:V8"/>
    <mergeCell ref="O8:P8"/>
  </mergeCells>
  <hyperlinks>
    <hyperlink ref="U1:V1" location="Contents!A1" display="Return to contents" xr:uid="{00000000-0004-0000-0600-000000000000}"/>
    <hyperlink ref="B31" r:id="rId1" location="appendix-2-physical-measurements" xr:uid="{98BCE166-DA58-49E4-87E5-E04F10F0C26C}"/>
  </hyperlinks>
  <pageMargins left="0.7" right="0.7" top="0.75" bottom="0.75" header="0.3" footer="0.3"/>
  <pageSetup paperSize="9"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66D78-63FB-4328-A631-E46F6F4B804C}">
  <dimension ref="A1:T45"/>
  <sheetViews>
    <sheetView showGridLines="0" workbookViewId="0">
      <selection activeCell="I1" sqref="I1:J1"/>
    </sheetView>
  </sheetViews>
  <sheetFormatPr defaultRowHeight="12"/>
  <cols>
    <col min="1" max="1" width="9.140625" style="386"/>
    <col min="2" max="2" width="11.42578125" style="386" customWidth="1"/>
    <col min="3" max="3" width="4" style="386" customWidth="1"/>
    <col min="4" max="4" width="9.85546875" style="386" bestFit="1" customWidth="1"/>
    <col min="5" max="5" width="15.85546875" style="386" customWidth="1"/>
    <col min="6" max="6" width="4" style="386" customWidth="1"/>
    <col min="7" max="7" width="9.85546875" style="386" bestFit="1" customWidth="1"/>
    <col min="8" max="8" width="14.28515625" style="386" customWidth="1"/>
    <col min="9" max="20" width="9.140625" style="387"/>
    <col min="21" max="16384" width="9.140625" style="386"/>
  </cols>
  <sheetData>
    <row r="1" spans="1:20" ht="13.5" thickTop="1" thickBot="1">
      <c r="I1" s="510" t="s">
        <v>3</v>
      </c>
      <c r="J1" s="511"/>
    </row>
    <row r="2" spans="1:20" ht="12.75" thickTop="1"/>
    <row r="9" spans="1:20" ht="15.75">
      <c r="A9" s="85"/>
      <c r="B9" s="85" t="s">
        <v>917</v>
      </c>
      <c r="C9" s="85"/>
      <c r="D9" s="85"/>
      <c r="E9" s="85"/>
      <c r="F9" s="85"/>
      <c r="G9" s="85"/>
      <c r="H9" s="85"/>
      <c r="I9" s="386"/>
      <c r="J9" s="386"/>
      <c r="K9" s="386"/>
      <c r="L9" s="386"/>
      <c r="M9" s="386"/>
      <c r="N9" s="386"/>
      <c r="O9" s="386"/>
      <c r="P9" s="386"/>
      <c r="Q9" s="386"/>
      <c r="R9" s="386"/>
      <c r="S9" s="386"/>
      <c r="T9" s="386"/>
    </row>
    <row r="10" spans="1:20" ht="15.75">
      <c r="A10" s="397"/>
      <c r="B10" s="397"/>
      <c r="C10" s="397"/>
      <c r="D10" s="397"/>
      <c r="E10" s="397"/>
      <c r="F10" s="397"/>
      <c r="G10" s="397"/>
      <c r="H10" s="397"/>
      <c r="I10" s="386"/>
      <c r="J10" s="386"/>
      <c r="K10" s="386"/>
      <c r="L10" s="386"/>
      <c r="M10" s="386"/>
      <c r="N10" s="386"/>
      <c r="O10" s="386"/>
      <c r="P10" s="386"/>
      <c r="Q10" s="386"/>
      <c r="R10" s="386"/>
      <c r="S10" s="386"/>
      <c r="T10" s="386"/>
    </row>
    <row r="11" spans="1:20" ht="15" customHeight="1">
      <c r="A11" s="388"/>
      <c r="B11" s="532" t="s">
        <v>965</v>
      </c>
      <c r="C11" s="450"/>
      <c r="D11" s="533" t="s">
        <v>910</v>
      </c>
      <c r="E11" s="533"/>
      <c r="F11" s="533"/>
      <c r="G11" s="533"/>
      <c r="H11" s="533"/>
      <c r="I11" s="386"/>
      <c r="J11" s="386"/>
      <c r="K11" s="386"/>
      <c r="L11" s="386"/>
      <c r="M11" s="386"/>
      <c r="N11" s="386"/>
      <c r="O11" s="386"/>
      <c r="P11" s="386"/>
      <c r="Q11" s="386"/>
      <c r="R11" s="386"/>
      <c r="S11" s="386"/>
      <c r="T11" s="386"/>
    </row>
    <row r="12" spans="1:20">
      <c r="A12" s="388"/>
      <c r="B12" s="532"/>
      <c r="C12" s="450"/>
      <c r="D12" s="534" t="s">
        <v>11</v>
      </c>
      <c r="E12" s="534"/>
      <c r="F12" s="451"/>
      <c r="G12" s="534" t="s">
        <v>12</v>
      </c>
      <c r="H12" s="534"/>
      <c r="I12" s="386"/>
      <c r="J12" s="386"/>
      <c r="K12" s="386"/>
      <c r="L12" s="386"/>
      <c r="M12" s="386"/>
      <c r="N12" s="386"/>
      <c r="O12" s="386"/>
      <c r="P12" s="386"/>
      <c r="Q12" s="386"/>
      <c r="R12" s="386"/>
      <c r="S12" s="386"/>
      <c r="T12" s="386"/>
    </row>
    <row r="13" spans="1:20">
      <c r="A13" s="388"/>
      <c r="B13" s="533"/>
      <c r="C13" s="452"/>
      <c r="D13" s="443" t="s">
        <v>614</v>
      </c>
      <c r="E13" s="443" t="s">
        <v>916</v>
      </c>
      <c r="F13" s="441"/>
      <c r="G13" s="443" t="s">
        <v>614</v>
      </c>
      <c r="H13" s="443" t="s">
        <v>916</v>
      </c>
      <c r="I13" s="386"/>
      <c r="J13" s="386"/>
      <c r="K13" s="386"/>
      <c r="L13" s="386"/>
      <c r="M13" s="386"/>
      <c r="N13" s="386"/>
      <c r="O13" s="386"/>
      <c r="P13" s="386"/>
      <c r="Q13" s="386"/>
      <c r="R13" s="386"/>
      <c r="S13" s="386"/>
      <c r="T13" s="386"/>
    </row>
    <row r="14" spans="1:20">
      <c r="B14" s="438" t="s">
        <v>911</v>
      </c>
      <c r="C14" s="438"/>
      <c r="D14" s="439">
        <v>2959.5005700294269</v>
      </c>
      <c r="E14" s="440">
        <v>0.58119884833087787</v>
      </c>
      <c r="F14" s="441"/>
      <c r="G14" s="442">
        <v>2526.9132169782151</v>
      </c>
      <c r="H14" s="440">
        <v>0.48428811839233349</v>
      </c>
      <c r="I14" s="386"/>
      <c r="J14" s="386"/>
      <c r="K14" s="386"/>
      <c r="L14" s="386"/>
      <c r="M14" s="386"/>
      <c r="N14" s="386"/>
      <c r="O14" s="386"/>
      <c r="P14" s="386"/>
      <c r="Q14" s="386"/>
      <c r="R14" s="386"/>
      <c r="S14" s="386"/>
      <c r="T14" s="386"/>
    </row>
    <row r="15" spans="1:20">
      <c r="A15" s="389"/>
      <c r="B15" s="438" t="s">
        <v>28</v>
      </c>
      <c r="C15" s="438"/>
      <c r="D15" s="442">
        <v>10133.2006</v>
      </c>
      <c r="E15" s="440">
        <v>13.9625</v>
      </c>
      <c r="F15" s="441"/>
      <c r="G15" s="442">
        <v>12839.0425</v>
      </c>
      <c r="H15" s="440">
        <v>16.75</v>
      </c>
      <c r="I15" s="386"/>
      <c r="J15" s="386"/>
      <c r="K15" s="386"/>
      <c r="L15" s="386"/>
      <c r="M15" s="386"/>
      <c r="N15" s="386"/>
      <c r="O15" s="386"/>
      <c r="P15" s="386"/>
      <c r="Q15" s="386"/>
      <c r="R15" s="386"/>
      <c r="S15" s="386"/>
      <c r="T15" s="386"/>
    </row>
    <row r="16" spans="1:20">
      <c r="A16" s="389"/>
      <c r="B16" s="438" t="s">
        <v>29</v>
      </c>
      <c r="C16" s="438"/>
      <c r="D16" s="442">
        <v>13795.825936651581</v>
      </c>
      <c r="E16" s="440">
        <v>21.995475113122168</v>
      </c>
      <c r="F16" s="441"/>
      <c r="G16" s="442">
        <v>18466.511369532433</v>
      </c>
      <c r="H16" s="440">
        <v>27.351432880844651</v>
      </c>
      <c r="I16" s="386"/>
      <c r="J16" s="386"/>
      <c r="K16" s="386"/>
      <c r="L16" s="386"/>
      <c r="M16" s="386"/>
      <c r="N16" s="386"/>
      <c r="O16" s="386"/>
      <c r="P16" s="386"/>
      <c r="Q16" s="386"/>
      <c r="R16" s="386"/>
      <c r="S16" s="386"/>
      <c r="T16" s="386"/>
    </row>
    <row r="17" spans="1:20">
      <c r="A17" s="389"/>
      <c r="B17" s="438" t="s">
        <v>30</v>
      </c>
      <c r="C17" s="438"/>
      <c r="D17" s="442">
        <v>19719.820098837208</v>
      </c>
      <c r="E17" s="440">
        <v>35.80038759689922</v>
      </c>
      <c r="F17" s="441"/>
      <c r="G17" s="442">
        <v>27077.538866279076</v>
      </c>
      <c r="H17" s="440">
        <v>45.653100775193806</v>
      </c>
      <c r="I17" s="386"/>
      <c r="J17" s="386"/>
      <c r="K17" s="386"/>
      <c r="L17" s="386"/>
      <c r="M17" s="386"/>
      <c r="N17" s="386"/>
      <c r="O17" s="386"/>
      <c r="P17" s="386"/>
      <c r="Q17" s="386"/>
      <c r="R17" s="386"/>
      <c r="S17" s="386"/>
      <c r="T17" s="386"/>
    </row>
    <row r="18" spans="1:20">
      <c r="A18" s="389"/>
      <c r="B18" s="438" t="s">
        <v>31</v>
      </c>
      <c r="C18" s="438"/>
      <c r="D18" s="442">
        <v>25716.264421413125</v>
      </c>
      <c r="E18" s="440">
        <v>61.293559240567184</v>
      </c>
      <c r="F18" s="441"/>
      <c r="G18" s="442">
        <v>36035.922576063451</v>
      </c>
      <c r="H18" s="440">
        <v>79.265681326604195</v>
      </c>
      <c r="I18" s="386"/>
      <c r="J18" s="386"/>
      <c r="K18" s="386"/>
      <c r="L18" s="386"/>
      <c r="M18" s="386"/>
      <c r="N18" s="386"/>
      <c r="O18" s="386"/>
      <c r="P18" s="386"/>
      <c r="Q18" s="386"/>
      <c r="R18" s="386"/>
      <c r="S18" s="386"/>
      <c r="T18" s="386"/>
    </row>
    <row r="19" spans="1:20">
      <c r="A19" s="389"/>
      <c r="B19" s="438" t="s">
        <v>32</v>
      </c>
      <c r="C19" s="438"/>
      <c r="D19" s="442">
        <v>27207.321088253193</v>
      </c>
      <c r="E19" s="440">
        <v>104.2793670115642</v>
      </c>
      <c r="F19" s="441"/>
      <c r="G19" s="442">
        <v>42564.78937472104</v>
      </c>
      <c r="H19" s="440">
        <v>139.43051328869953</v>
      </c>
      <c r="I19" s="386"/>
      <c r="J19" s="386"/>
      <c r="K19" s="386"/>
      <c r="L19" s="386"/>
      <c r="M19" s="386"/>
      <c r="N19" s="386"/>
      <c r="O19" s="386"/>
      <c r="P19" s="386"/>
      <c r="Q19" s="386"/>
      <c r="R19" s="386"/>
      <c r="S19" s="386"/>
      <c r="T19" s="386"/>
    </row>
    <row r="20" spans="1:20">
      <c r="A20" s="389"/>
      <c r="B20" s="438" t="s">
        <v>912</v>
      </c>
      <c r="C20" s="438"/>
      <c r="D20" s="442">
        <v>24494.127803192441</v>
      </c>
      <c r="E20" s="440">
        <v>173.05690205593154</v>
      </c>
      <c r="F20" s="441"/>
      <c r="G20" s="442">
        <v>45613.007100842799</v>
      </c>
      <c r="H20" s="440">
        <v>236.54395351806917</v>
      </c>
      <c r="I20" s="386"/>
      <c r="J20" s="386"/>
      <c r="K20" s="386"/>
      <c r="L20" s="386"/>
      <c r="M20" s="386"/>
      <c r="N20" s="386"/>
      <c r="O20" s="386"/>
      <c r="P20" s="386"/>
      <c r="Q20" s="386"/>
      <c r="R20" s="386"/>
      <c r="S20" s="386"/>
      <c r="T20" s="386"/>
    </row>
    <row r="21" spans="1:20">
      <c r="A21" s="389"/>
      <c r="B21" s="438" t="s">
        <v>633</v>
      </c>
      <c r="C21" s="438"/>
      <c r="D21" s="442">
        <v>25559.412422980287</v>
      </c>
      <c r="E21" s="440">
        <v>337.03534499420181</v>
      </c>
      <c r="F21" s="441"/>
      <c r="G21" s="442">
        <v>66564.649334243324</v>
      </c>
      <c r="H21" s="440">
        <v>479.19953735021255</v>
      </c>
      <c r="I21" s="386"/>
      <c r="J21" s="386"/>
      <c r="K21" s="386"/>
      <c r="L21" s="386"/>
      <c r="M21" s="386"/>
      <c r="N21" s="386"/>
      <c r="O21" s="386"/>
      <c r="P21" s="386"/>
      <c r="Q21" s="386"/>
      <c r="R21" s="386"/>
      <c r="S21" s="386"/>
      <c r="T21" s="386"/>
    </row>
    <row r="22" spans="1:20">
      <c r="A22" s="389"/>
      <c r="B22" s="443" t="s">
        <v>35</v>
      </c>
      <c r="C22" s="443"/>
      <c r="D22" s="444">
        <v>149585.47294135726</v>
      </c>
      <c r="E22" s="445">
        <v>11.602761736437936</v>
      </c>
      <c r="F22" s="446"/>
      <c r="G22" s="444">
        <v>251688.3743386603</v>
      </c>
      <c r="H22" s="445">
        <v>19.23237165800408</v>
      </c>
      <c r="I22" s="386"/>
      <c r="J22" s="386"/>
      <c r="K22" s="386"/>
      <c r="L22" s="386"/>
      <c r="M22" s="386"/>
      <c r="N22" s="386"/>
      <c r="O22" s="386"/>
      <c r="P22" s="386"/>
      <c r="Q22" s="386"/>
      <c r="R22" s="386"/>
      <c r="S22" s="386"/>
      <c r="T22" s="386"/>
    </row>
    <row r="23" spans="1:20">
      <c r="A23" s="389"/>
      <c r="B23" s="384" t="s">
        <v>913</v>
      </c>
      <c r="C23" s="390"/>
      <c r="D23" s="391"/>
      <c r="E23" s="392"/>
      <c r="G23" s="391"/>
      <c r="H23" s="392"/>
      <c r="I23" s="386"/>
      <c r="J23" s="386"/>
      <c r="K23" s="386"/>
      <c r="L23" s="386"/>
      <c r="M23" s="386"/>
      <c r="N23" s="386"/>
      <c r="O23" s="386"/>
      <c r="P23" s="386"/>
      <c r="Q23" s="386"/>
      <c r="R23" s="386"/>
      <c r="S23" s="386"/>
      <c r="T23" s="386"/>
    </row>
    <row r="24" spans="1:20">
      <c r="A24" s="384"/>
      <c r="B24" s="383" t="s">
        <v>914</v>
      </c>
      <c r="C24" s="393"/>
      <c r="I24" s="386"/>
      <c r="J24" s="386"/>
      <c r="K24" s="386"/>
      <c r="L24" s="386"/>
      <c r="M24" s="386"/>
      <c r="N24" s="386"/>
      <c r="O24" s="386"/>
      <c r="P24" s="386"/>
      <c r="Q24" s="386"/>
      <c r="R24" s="386"/>
      <c r="S24" s="386"/>
      <c r="T24" s="386"/>
    </row>
    <row r="25" spans="1:20">
      <c r="A25" s="383"/>
      <c r="B25" s="383" t="s">
        <v>915</v>
      </c>
      <c r="C25" s="393"/>
      <c r="I25" s="386"/>
      <c r="J25" s="386"/>
      <c r="K25" s="386"/>
      <c r="L25" s="386"/>
      <c r="M25" s="386"/>
      <c r="N25" s="386"/>
      <c r="O25" s="386"/>
      <c r="P25" s="386"/>
      <c r="Q25" s="386"/>
      <c r="R25" s="386"/>
      <c r="S25" s="386"/>
      <c r="T25" s="386"/>
    </row>
    <row r="26" spans="1:20">
      <c r="A26" s="383"/>
      <c r="B26" s="383" t="s">
        <v>961</v>
      </c>
      <c r="C26" s="393"/>
      <c r="I26" s="386"/>
      <c r="J26" s="386"/>
      <c r="K26" s="386"/>
      <c r="L26" s="386"/>
      <c r="M26" s="386"/>
      <c r="N26" s="386"/>
      <c r="O26" s="386"/>
      <c r="P26" s="386"/>
      <c r="Q26" s="386"/>
      <c r="R26" s="386"/>
      <c r="S26" s="386"/>
      <c r="T26" s="386"/>
    </row>
    <row r="27" spans="1:20">
      <c r="A27" s="383"/>
      <c r="B27" s="394"/>
      <c r="C27" s="394"/>
      <c r="I27" s="386"/>
      <c r="J27" s="386"/>
      <c r="K27" s="386"/>
      <c r="L27" s="386"/>
      <c r="M27" s="386"/>
      <c r="N27" s="386"/>
      <c r="O27" s="386"/>
      <c r="P27" s="386"/>
      <c r="Q27" s="386"/>
      <c r="R27" s="386"/>
      <c r="S27" s="386"/>
      <c r="T27" s="386"/>
    </row>
    <row r="28" spans="1:20">
      <c r="I28" s="386"/>
      <c r="J28" s="386"/>
      <c r="K28" s="386"/>
      <c r="L28" s="386"/>
      <c r="M28" s="386"/>
      <c r="N28" s="386"/>
      <c r="O28" s="386"/>
      <c r="P28" s="386"/>
      <c r="Q28" s="386"/>
      <c r="R28" s="386"/>
      <c r="S28" s="386"/>
      <c r="T28" s="386"/>
    </row>
    <row r="29" spans="1:20">
      <c r="I29" s="386"/>
      <c r="J29" s="386"/>
      <c r="K29" s="386"/>
      <c r="L29" s="386"/>
      <c r="M29" s="386"/>
      <c r="N29" s="386"/>
      <c r="O29" s="386"/>
      <c r="P29" s="386"/>
      <c r="Q29" s="386"/>
      <c r="R29" s="386"/>
      <c r="S29" s="386"/>
      <c r="T29" s="386"/>
    </row>
    <row r="30" spans="1:20">
      <c r="I30" s="386"/>
      <c r="J30" s="386"/>
      <c r="K30" s="386"/>
      <c r="L30" s="386"/>
      <c r="M30" s="386"/>
      <c r="N30" s="386"/>
      <c r="O30" s="386"/>
      <c r="P30" s="386"/>
      <c r="Q30" s="386"/>
      <c r="R30" s="386"/>
      <c r="S30" s="386"/>
      <c r="T30" s="386"/>
    </row>
    <row r="31" spans="1:20">
      <c r="I31" s="386"/>
      <c r="J31" s="386"/>
      <c r="K31" s="386"/>
      <c r="L31" s="386"/>
      <c r="M31" s="386"/>
      <c r="N31" s="386"/>
      <c r="O31" s="386"/>
      <c r="P31" s="386"/>
      <c r="Q31" s="386"/>
      <c r="R31" s="386"/>
      <c r="S31" s="386"/>
      <c r="T31" s="386"/>
    </row>
    <row r="32" spans="1:20">
      <c r="I32" s="386"/>
      <c r="J32" s="386"/>
      <c r="K32" s="386"/>
      <c r="L32" s="386"/>
      <c r="M32" s="386"/>
      <c r="N32" s="386"/>
      <c r="O32" s="386"/>
      <c r="P32" s="386"/>
      <c r="Q32" s="386"/>
      <c r="R32" s="386"/>
      <c r="S32" s="386"/>
      <c r="T32" s="386"/>
    </row>
    <row r="33" s="386" customFormat="1"/>
    <row r="34" s="386" customFormat="1"/>
    <row r="35" s="386" customFormat="1"/>
    <row r="36" s="386" customFormat="1"/>
    <row r="37" s="386" customFormat="1"/>
    <row r="38" s="386" customFormat="1"/>
    <row r="39" s="386" customFormat="1"/>
    <row r="40" s="386" customFormat="1"/>
    <row r="41" s="386" customFormat="1"/>
    <row r="42" s="386" customFormat="1"/>
    <row r="43" s="386" customFormat="1"/>
    <row r="44" s="386" customFormat="1"/>
    <row r="45" s="386" customFormat="1"/>
  </sheetData>
  <mergeCells count="5">
    <mergeCell ref="B11:B13"/>
    <mergeCell ref="D11:H11"/>
    <mergeCell ref="D12:E12"/>
    <mergeCell ref="G12:H12"/>
    <mergeCell ref="I1:J1"/>
  </mergeCells>
  <hyperlinks>
    <hyperlink ref="I1:J1" location="Contents!A1" display="Return to contents" xr:uid="{CCB0871A-CC24-42CE-8B93-F2FE7798EE01}"/>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J56"/>
  <sheetViews>
    <sheetView showGridLines="0" zoomScaleNormal="100" workbookViewId="0">
      <selection activeCell="N1" sqref="N1:O1"/>
    </sheetView>
  </sheetViews>
  <sheetFormatPr defaultRowHeight="15"/>
  <cols>
    <col min="2" max="2" width="22.5703125" customWidth="1"/>
    <col min="3" max="3" width="8.5703125" bestFit="1" customWidth="1"/>
    <col min="4" max="4" width="7.85546875" bestFit="1" customWidth="1"/>
    <col min="5" max="5" width="2.7109375" customWidth="1"/>
    <col min="6" max="6" width="10.5703125" bestFit="1" customWidth="1"/>
    <col min="7" max="7" width="7.85546875" bestFit="1" customWidth="1"/>
    <col min="8" max="8" width="5.5703125" customWidth="1"/>
    <col min="9" max="9" width="7.140625" customWidth="1"/>
    <col min="11" max="11" width="3.28515625" customWidth="1"/>
    <col min="12" max="12" width="7" customWidth="1"/>
  </cols>
  <sheetData>
    <row r="1" spans="2:28" ht="16.5" thickTop="1" thickBot="1">
      <c r="N1" s="498" t="s">
        <v>3</v>
      </c>
      <c r="O1" s="499"/>
    </row>
    <row r="2" spans="2:28" ht="15.75" thickTop="1"/>
    <row r="5" spans="2:28" ht="11.25" customHeight="1"/>
    <row r="6" spans="2:28" ht="18.75">
      <c r="B6" s="85" t="s">
        <v>967</v>
      </c>
      <c r="C6" s="85"/>
      <c r="D6" s="85"/>
      <c r="E6" s="85"/>
      <c r="F6" s="85"/>
      <c r="G6" s="85"/>
      <c r="H6" s="24"/>
    </row>
    <row r="7" spans="2:28" ht="15.75">
      <c r="B7" s="52"/>
      <c r="C7" s="52"/>
      <c r="D7" s="52"/>
      <c r="E7" s="52"/>
      <c r="F7" s="52"/>
      <c r="G7" s="52"/>
      <c r="H7" s="24"/>
    </row>
    <row r="8" spans="2:28">
      <c r="C8" s="541" t="s">
        <v>195</v>
      </c>
      <c r="D8" s="541"/>
      <c r="E8" s="541"/>
      <c r="F8" s="541"/>
      <c r="G8" s="541"/>
      <c r="H8" s="454"/>
      <c r="I8" s="536" t="s">
        <v>963</v>
      </c>
      <c r="J8" s="536"/>
      <c r="K8" s="536"/>
      <c r="L8" s="536"/>
      <c r="M8" s="536"/>
      <c r="N8" s="453"/>
      <c r="O8" s="453"/>
      <c r="P8" s="453"/>
      <c r="Q8" s="453"/>
      <c r="R8" s="453"/>
      <c r="S8" s="453"/>
      <c r="T8" s="453"/>
      <c r="AB8" s="55"/>
    </row>
    <row r="9" spans="2:28">
      <c r="B9" s="231"/>
      <c r="C9" s="535" t="s">
        <v>11</v>
      </c>
      <c r="D9" s="535"/>
      <c r="E9" s="196"/>
      <c r="F9" s="535" t="s">
        <v>12</v>
      </c>
      <c r="G9" s="535"/>
      <c r="H9" s="455"/>
      <c r="I9" s="535" t="s">
        <v>11</v>
      </c>
      <c r="J9" s="535"/>
      <c r="K9" s="196"/>
      <c r="L9" s="535" t="s">
        <v>12</v>
      </c>
      <c r="M9" s="535"/>
      <c r="N9" s="72"/>
      <c r="O9" s="72"/>
      <c r="P9" s="72"/>
      <c r="Q9" s="72"/>
      <c r="R9" s="72"/>
      <c r="S9" s="72"/>
      <c r="T9" s="72"/>
      <c r="AB9" s="55"/>
    </row>
    <row r="10" spans="2:28">
      <c r="B10" s="130" t="s">
        <v>15</v>
      </c>
      <c r="C10" s="138" t="s">
        <v>38</v>
      </c>
      <c r="D10" s="138" t="s">
        <v>51</v>
      </c>
      <c r="E10" s="13"/>
      <c r="F10" s="138" t="s">
        <v>38</v>
      </c>
      <c r="G10" s="138" t="s">
        <v>51</v>
      </c>
      <c r="H10" s="204"/>
      <c r="I10" s="138" t="s">
        <v>38</v>
      </c>
      <c r="J10" s="138" t="s">
        <v>51</v>
      </c>
      <c r="K10" s="13"/>
      <c r="L10" s="138" t="s">
        <v>38</v>
      </c>
      <c r="M10" s="138" t="s">
        <v>51</v>
      </c>
      <c r="N10" s="205"/>
      <c r="O10" s="205"/>
      <c r="P10" s="205"/>
      <c r="Q10" s="205"/>
      <c r="R10" s="205"/>
      <c r="S10" s="205"/>
      <c r="T10" s="205"/>
      <c r="AB10" s="55"/>
    </row>
    <row r="11" spans="2:28">
      <c r="B11" s="131" t="s">
        <v>536</v>
      </c>
      <c r="C11" s="227">
        <v>2.4</v>
      </c>
      <c r="D11" s="227" t="s">
        <v>850</v>
      </c>
      <c r="E11" s="227"/>
      <c r="F11" s="227" t="s">
        <v>559</v>
      </c>
      <c r="G11" s="227" t="s">
        <v>951</v>
      </c>
      <c r="H11" s="206"/>
      <c r="I11" s="249">
        <v>0</v>
      </c>
      <c r="J11" s="227" t="s">
        <v>881</v>
      </c>
      <c r="K11" s="227"/>
      <c r="L11" s="250">
        <v>1.6</v>
      </c>
      <c r="M11" s="227" t="s">
        <v>951</v>
      </c>
      <c r="N11" s="205"/>
      <c r="O11" s="205"/>
      <c r="P11" s="205"/>
      <c r="Q11" s="205"/>
      <c r="R11" s="205"/>
      <c r="S11" s="205"/>
      <c r="T11" s="205"/>
      <c r="AB11" s="55"/>
    </row>
    <row r="12" spans="2:28">
      <c r="B12" s="131" t="s">
        <v>6</v>
      </c>
      <c r="C12" s="227">
        <v>8.8000000000000007</v>
      </c>
      <c r="D12" s="227" t="s">
        <v>851</v>
      </c>
      <c r="E12" s="227"/>
      <c r="F12" s="227">
        <v>5.7</v>
      </c>
      <c r="G12" s="227" t="s">
        <v>860</v>
      </c>
      <c r="H12" s="206"/>
      <c r="I12" s="249">
        <v>2.2000000000000002</v>
      </c>
      <c r="J12" s="227" t="s">
        <v>869</v>
      </c>
      <c r="K12" s="227"/>
      <c r="L12" s="249">
        <v>1.6</v>
      </c>
      <c r="M12" s="87" t="s">
        <v>875</v>
      </c>
      <c r="N12" s="203"/>
      <c r="O12" s="203"/>
      <c r="P12" s="203"/>
      <c r="Q12" s="203"/>
      <c r="R12" s="203"/>
      <c r="S12" s="203"/>
      <c r="T12" s="203"/>
      <c r="AB12" s="55"/>
    </row>
    <row r="13" spans="2:28">
      <c r="B13" s="131" t="s">
        <v>7</v>
      </c>
      <c r="C13" s="221">
        <v>13.6</v>
      </c>
      <c r="D13" s="227" t="s">
        <v>852</v>
      </c>
      <c r="E13" s="227"/>
      <c r="F13" s="221">
        <v>8</v>
      </c>
      <c r="G13" s="227" t="s">
        <v>861</v>
      </c>
      <c r="H13" s="206"/>
      <c r="I13" s="249">
        <v>2.2999999999999998</v>
      </c>
      <c r="J13" s="227" t="s">
        <v>866</v>
      </c>
      <c r="K13" s="227"/>
      <c r="L13" s="249">
        <v>1.1000000000000001</v>
      </c>
      <c r="M13" s="227" t="s">
        <v>876</v>
      </c>
      <c r="N13" s="203"/>
      <c r="O13" s="203"/>
      <c r="P13" s="203"/>
      <c r="Q13" s="203"/>
      <c r="R13" s="203"/>
      <c r="S13" s="203"/>
      <c r="T13" s="203"/>
    </row>
    <row r="14" spans="2:28">
      <c r="B14" s="131" t="s">
        <v>8</v>
      </c>
      <c r="C14" s="227">
        <v>12.7</v>
      </c>
      <c r="D14" s="227" t="s">
        <v>853</v>
      </c>
      <c r="E14" s="227"/>
      <c r="F14" s="227">
        <v>9.6999999999999993</v>
      </c>
      <c r="G14" s="227" t="s">
        <v>862</v>
      </c>
      <c r="H14" s="206"/>
      <c r="I14" s="249">
        <v>2.2999999999999998</v>
      </c>
      <c r="J14" s="227" t="s">
        <v>870</v>
      </c>
      <c r="K14" s="227"/>
      <c r="L14" s="249">
        <v>1.1000000000000001</v>
      </c>
      <c r="M14" s="227" t="s">
        <v>877</v>
      </c>
      <c r="N14" s="203"/>
      <c r="O14" s="203"/>
      <c r="P14" s="203"/>
      <c r="Q14" s="203"/>
      <c r="R14" s="203"/>
      <c r="S14" s="203"/>
      <c r="T14" s="203"/>
    </row>
    <row r="15" spans="2:28">
      <c r="B15" s="131" t="s">
        <v>9</v>
      </c>
      <c r="C15" s="227">
        <v>13.9</v>
      </c>
      <c r="D15" s="227" t="s">
        <v>854</v>
      </c>
      <c r="E15" s="227"/>
      <c r="F15" s="221">
        <v>10</v>
      </c>
      <c r="G15" s="227" t="s">
        <v>863</v>
      </c>
      <c r="H15" s="206"/>
      <c r="I15" s="249">
        <v>1</v>
      </c>
      <c r="J15" s="227" t="s">
        <v>871</v>
      </c>
      <c r="K15" s="227"/>
      <c r="L15" s="249">
        <v>0.7</v>
      </c>
      <c r="M15" s="227" t="s">
        <v>878</v>
      </c>
      <c r="N15" s="203"/>
      <c r="O15" s="203"/>
      <c r="P15" s="203"/>
      <c r="Q15" s="203"/>
      <c r="R15" s="203"/>
      <c r="S15" s="203"/>
      <c r="T15" s="203"/>
    </row>
    <row r="16" spans="2:28" ht="15" customHeight="1">
      <c r="B16" s="131" t="s">
        <v>10</v>
      </c>
      <c r="C16" s="227">
        <v>16.3</v>
      </c>
      <c r="D16" s="227" t="s">
        <v>855</v>
      </c>
      <c r="E16" s="227"/>
      <c r="F16" s="227">
        <v>11.5</v>
      </c>
      <c r="G16" s="227" t="s">
        <v>864</v>
      </c>
      <c r="H16" s="206"/>
      <c r="I16" s="249">
        <v>0.5</v>
      </c>
      <c r="J16" s="227" t="s">
        <v>872</v>
      </c>
      <c r="K16" s="227"/>
      <c r="L16" s="249">
        <v>0.8</v>
      </c>
      <c r="M16" s="227" t="s">
        <v>879</v>
      </c>
      <c r="N16" s="203"/>
      <c r="O16" s="203"/>
      <c r="P16" s="203"/>
      <c r="Q16" s="203"/>
      <c r="R16" s="203"/>
      <c r="S16" s="203"/>
      <c r="T16" s="203"/>
      <c r="V16" s="62"/>
      <c r="W16" s="62"/>
      <c r="X16" s="62"/>
      <c r="Y16" s="62"/>
      <c r="Z16" s="62"/>
      <c r="AA16" s="62"/>
      <c r="AB16" s="62"/>
    </row>
    <row r="17" spans="2:36">
      <c r="B17" s="131" t="s">
        <v>13</v>
      </c>
      <c r="C17" s="227">
        <v>9.1999999999999993</v>
      </c>
      <c r="D17" s="227" t="s">
        <v>856</v>
      </c>
      <c r="E17" s="227"/>
      <c r="F17" s="227">
        <v>6.9</v>
      </c>
      <c r="G17" s="227" t="s">
        <v>865</v>
      </c>
      <c r="H17" s="206"/>
      <c r="I17" s="227">
        <v>0.7</v>
      </c>
      <c r="J17" s="227" t="s">
        <v>873</v>
      </c>
      <c r="K17" s="227"/>
      <c r="L17" s="249">
        <v>0.7</v>
      </c>
      <c r="M17" s="227" t="s">
        <v>873</v>
      </c>
      <c r="N17" s="203"/>
      <c r="O17" s="203"/>
      <c r="P17" s="203"/>
      <c r="Q17" s="203"/>
      <c r="R17" s="203"/>
      <c r="S17" s="203"/>
      <c r="T17" s="203"/>
    </row>
    <row r="18" spans="2:36">
      <c r="B18" s="131" t="s">
        <v>14</v>
      </c>
      <c r="C18" s="227">
        <v>3.8</v>
      </c>
      <c r="D18" s="227" t="s">
        <v>857</v>
      </c>
      <c r="E18" s="227"/>
      <c r="F18" s="227">
        <v>2.2999999999999998</v>
      </c>
      <c r="G18" s="227" t="s">
        <v>866</v>
      </c>
      <c r="H18" s="206"/>
      <c r="I18" s="227" t="s">
        <v>560</v>
      </c>
      <c r="J18" s="227" t="s">
        <v>951</v>
      </c>
      <c r="K18" s="227"/>
      <c r="L18" s="250">
        <v>0.1</v>
      </c>
      <c r="M18" s="227" t="s">
        <v>951</v>
      </c>
      <c r="N18" s="203"/>
      <c r="O18" s="203"/>
      <c r="P18" s="203"/>
      <c r="Q18" s="203"/>
      <c r="R18" s="203"/>
      <c r="S18" s="203"/>
      <c r="T18" s="203"/>
      <c r="V18" s="86"/>
      <c r="W18" s="86"/>
      <c r="X18" s="86"/>
      <c r="Y18" s="86"/>
      <c r="Z18" s="86"/>
      <c r="AA18" s="86"/>
      <c r="AB18" s="86"/>
      <c r="AC18" s="86"/>
      <c r="AD18" s="86"/>
      <c r="AE18" s="86"/>
      <c r="AF18" s="86"/>
      <c r="AG18" s="86"/>
      <c r="AH18" s="86"/>
      <c r="AI18" s="86"/>
      <c r="AJ18" s="86"/>
    </row>
    <row r="19" spans="2:36">
      <c r="B19" s="131" t="s">
        <v>537</v>
      </c>
      <c r="C19" s="227">
        <v>11.6</v>
      </c>
      <c r="D19" s="227" t="s">
        <v>858</v>
      </c>
      <c r="E19" s="227"/>
      <c r="F19" s="221">
        <v>8</v>
      </c>
      <c r="G19" s="227" t="s">
        <v>867</v>
      </c>
      <c r="H19" s="206"/>
      <c r="I19" s="227">
        <v>1.4</v>
      </c>
      <c r="J19" s="227" t="s">
        <v>874</v>
      </c>
      <c r="K19" s="227"/>
      <c r="L19" s="249">
        <v>0.9</v>
      </c>
      <c r="M19" s="227" t="s">
        <v>880</v>
      </c>
      <c r="N19" s="203"/>
      <c r="O19" s="203"/>
      <c r="P19" s="203"/>
      <c r="Q19" s="203"/>
      <c r="R19" s="203"/>
      <c r="S19" s="203"/>
      <c r="T19" s="203"/>
      <c r="V19" s="86"/>
      <c r="W19" s="86"/>
      <c r="X19" s="86"/>
      <c r="Y19" s="86"/>
      <c r="Z19" s="86"/>
      <c r="AA19" s="86"/>
      <c r="AB19" s="86"/>
      <c r="AC19" s="86"/>
      <c r="AD19" s="86"/>
      <c r="AE19" s="86"/>
      <c r="AF19" s="86"/>
      <c r="AG19" s="86"/>
      <c r="AH19" s="86"/>
      <c r="AI19" s="86"/>
      <c r="AJ19" s="86"/>
    </row>
    <row r="20" spans="2:36">
      <c r="B20" s="131" t="s">
        <v>538</v>
      </c>
      <c r="C20" s="221">
        <v>12</v>
      </c>
      <c r="D20" s="227" t="s">
        <v>859</v>
      </c>
      <c r="E20" s="227"/>
      <c r="F20" s="227">
        <v>8.1999999999999993</v>
      </c>
      <c r="G20" s="227" t="s">
        <v>868</v>
      </c>
      <c r="H20" s="206"/>
      <c r="I20" s="221">
        <v>1.4</v>
      </c>
      <c r="J20" s="227" t="s">
        <v>874</v>
      </c>
      <c r="K20" s="227"/>
      <c r="L20" s="249">
        <v>0.9</v>
      </c>
      <c r="M20" s="227" t="s">
        <v>880</v>
      </c>
      <c r="N20" s="203"/>
      <c r="O20" s="203"/>
      <c r="P20" s="203"/>
      <c r="Q20" s="203"/>
      <c r="R20" s="203"/>
      <c r="S20" s="203"/>
      <c r="T20" s="203"/>
      <c r="V20" s="86"/>
      <c r="W20" s="86"/>
      <c r="X20" s="86"/>
      <c r="Y20" s="86"/>
      <c r="Z20" s="86"/>
      <c r="AA20" s="86"/>
      <c r="AB20" s="86"/>
      <c r="AC20" s="86"/>
      <c r="AD20" s="86"/>
      <c r="AE20" s="86"/>
      <c r="AF20" s="86"/>
      <c r="AG20" s="86"/>
      <c r="AH20" s="86"/>
      <c r="AI20" s="86"/>
      <c r="AJ20" s="86"/>
    </row>
    <row r="21" spans="2:36">
      <c r="B21" s="131"/>
      <c r="C21" s="221"/>
      <c r="D21" s="227"/>
      <c r="E21" s="227"/>
      <c r="F21" s="227"/>
      <c r="G21" s="227"/>
      <c r="H21" s="206"/>
      <c r="I21" s="221"/>
      <c r="J21" s="227"/>
      <c r="K21" s="227"/>
      <c r="L21" s="249"/>
      <c r="M21" s="227"/>
      <c r="N21" s="203"/>
      <c r="O21" s="203"/>
      <c r="P21" s="203"/>
      <c r="Q21" s="203"/>
      <c r="R21" s="203"/>
      <c r="S21" s="203"/>
      <c r="T21" s="203"/>
      <c r="V21" s="86"/>
      <c r="W21" s="86"/>
      <c r="X21" s="86"/>
      <c r="Y21" s="86"/>
      <c r="Z21" s="86"/>
      <c r="AA21" s="86"/>
      <c r="AB21" s="86"/>
      <c r="AC21" s="86"/>
      <c r="AD21" s="86"/>
      <c r="AE21" s="86"/>
      <c r="AF21" s="86"/>
      <c r="AG21" s="86"/>
      <c r="AH21" s="86"/>
      <c r="AI21" s="86"/>
      <c r="AJ21" s="86"/>
    </row>
    <row r="22" spans="2:36">
      <c r="B22" s="131"/>
      <c r="C22" s="221"/>
      <c r="D22" s="227"/>
      <c r="E22" s="227"/>
      <c r="F22" s="227"/>
      <c r="G22" s="227"/>
      <c r="H22" s="206"/>
      <c r="I22" s="221"/>
      <c r="J22" s="227"/>
      <c r="K22" s="227"/>
      <c r="L22" s="249"/>
      <c r="M22" s="227"/>
      <c r="N22" s="203"/>
      <c r="O22" s="203"/>
      <c r="P22" s="203"/>
      <c r="Q22" s="203"/>
      <c r="R22" s="203"/>
      <c r="S22" s="203"/>
      <c r="T22" s="203"/>
      <c r="V22" s="86"/>
      <c r="W22" s="86"/>
      <c r="X22" s="86"/>
      <c r="Y22" s="86"/>
      <c r="Z22" s="86"/>
      <c r="AA22" s="86"/>
      <c r="AB22" s="86"/>
      <c r="AC22" s="86"/>
      <c r="AD22" s="86"/>
      <c r="AE22" s="86"/>
      <c r="AF22" s="86"/>
      <c r="AG22" s="86"/>
      <c r="AH22" s="86"/>
      <c r="AI22" s="86"/>
      <c r="AJ22" s="86"/>
    </row>
    <row r="23" spans="2:36">
      <c r="B23" s="251" t="s">
        <v>968</v>
      </c>
      <c r="C23" s="221"/>
      <c r="D23" s="227"/>
      <c r="E23" s="227"/>
      <c r="F23" s="249"/>
      <c r="G23" s="227"/>
      <c r="H23" s="206"/>
      <c r="I23" s="221"/>
      <c r="J23" s="227"/>
      <c r="K23" s="227"/>
      <c r="L23" s="249"/>
      <c r="M23" s="227"/>
      <c r="N23" s="203"/>
      <c r="O23" s="203"/>
      <c r="P23" s="203"/>
      <c r="Q23" s="203"/>
      <c r="R23" s="203"/>
      <c r="S23" s="203"/>
      <c r="T23" s="203"/>
      <c r="V23" s="86"/>
      <c r="W23" s="86"/>
      <c r="X23" s="86"/>
      <c r="Y23" s="86"/>
      <c r="Z23" s="86"/>
      <c r="AA23" s="86"/>
      <c r="AB23" s="86"/>
      <c r="AC23" s="86"/>
      <c r="AD23" s="86"/>
      <c r="AE23" s="86"/>
      <c r="AF23" s="86"/>
      <c r="AG23" s="86"/>
      <c r="AH23" s="86"/>
      <c r="AI23" s="86"/>
      <c r="AJ23" s="86"/>
    </row>
    <row r="24" spans="2:36">
      <c r="B24" s="131" t="s">
        <v>52</v>
      </c>
      <c r="C24" s="228">
        <v>15.7</v>
      </c>
      <c r="D24" s="228" t="s">
        <v>372</v>
      </c>
      <c r="E24" s="228"/>
      <c r="F24" s="228">
        <v>9.9</v>
      </c>
      <c r="G24" s="228" t="s">
        <v>375</v>
      </c>
      <c r="H24" s="206"/>
      <c r="I24" s="221" t="s">
        <v>964</v>
      </c>
      <c r="J24" s="227" t="s">
        <v>964</v>
      </c>
      <c r="K24" s="227"/>
      <c r="L24" s="249" t="s">
        <v>964</v>
      </c>
      <c r="M24" s="227" t="s">
        <v>964</v>
      </c>
      <c r="N24" s="203"/>
      <c r="O24" s="203"/>
      <c r="P24" s="203"/>
      <c r="Q24" s="203"/>
      <c r="R24" s="203"/>
      <c r="S24" s="203"/>
      <c r="T24" s="203"/>
      <c r="V24" s="86"/>
      <c r="W24" s="86"/>
      <c r="X24" s="86"/>
      <c r="Y24" s="86"/>
      <c r="Z24" s="86"/>
      <c r="AA24" s="86"/>
      <c r="AB24" s="86"/>
      <c r="AC24" s="86"/>
      <c r="AD24" s="86"/>
      <c r="AE24" s="86"/>
      <c r="AF24" s="86"/>
      <c r="AG24" s="86"/>
      <c r="AH24" s="86"/>
      <c r="AI24" s="86"/>
      <c r="AJ24" s="86"/>
    </row>
    <row r="25" spans="2:36">
      <c r="B25" s="131" t="s">
        <v>53</v>
      </c>
      <c r="C25" s="228">
        <v>18.2</v>
      </c>
      <c r="D25" s="228" t="s">
        <v>373</v>
      </c>
      <c r="E25" s="228"/>
      <c r="F25" s="228">
        <v>14.9</v>
      </c>
      <c r="G25" s="228" t="s">
        <v>376</v>
      </c>
      <c r="H25" s="206"/>
      <c r="I25" s="221" t="s">
        <v>964</v>
      </c>
      <c r="J25" s="227" t="s">
        <v>964</v>
      </c>
      <c r="K25" s="227"/>
      <c r="L25" s="249" t="s">
        <v>964</v>
      </c>
      <c r="M25" s="227" t="s">
        <v>964</v>
      </c>
      <c r="N25" s="203"/>
      <c r="O25" s="203"/>
      <c r="P25" s="203"/>
      <c r="Q25" s="203"/>
      <c r="R25" s="203"/>
      <c r="S25" s="203"/>
      <c r="T25" s="203"/>
      <c r="V25" s="86"/>
      <c r="W25" s="86"/>
      <c r="X25" s="86"/>
      <c r="Y25" s="86"/>
      <c r="Z25" s="86"/>
      <c r="AA25" s="86"/>
      <c r="AB25" s="86"/>
      <c r="AC25" s="86"/>
      <c r="AD25" s="86"/>
      <c r="AE25" s="86"/>
      <c r="AF25" s="86"/>
      <c r="AG25" s="86"/>
      <c r="AH25" s="86"/>
      <c r="AI25" s="86"/>
      <c r="AJ25" s="86"/>
    </row>
    <row r="26" spans="2:36">
      <c r="B26" s="131" t="s">
        <v>54</v>
      </c>
      <c r="C26" s="228">
        <v>23.5</v>
      </c>
      <c r="D26" s="228" t="s">
        <v>374</v>
      </c>
      <c r="E26" s="228"/>
      <c r="F26" s="228">
        <v>15.9</v>
      </c>
      <c r="G26" s="228" t="s">
        <v>377</v>
      </c>
      <c r="H26" s="206"/>
      <c r="I26" s="221" t="s">
        <v>964</v>
      </c>
      <c r="J26" s="227" t="s">
        <v>964</v>
      </c>
      <c r="K26" s="227"/>
      <c r="L26" s="249" t="s">
        <v>964</v>
      </c>
      <c r="M26" s="227" t="s">
        <v>964</v>
      </c>
      <c r="N26" s="203"/>
      <c r="O26" s="203"/>
      <c r="P26" s="203"/>
      <c r="Q26" s="203"/>
      <c r="R26" s="203"/>
      <c r="S26" s="203"/>
      <c r="T26" s="203"/>
      <c r="V26" s="86"/>
      <c r="W26" s="86"/>
      <c r="X26" s="86"/>
      <c r="Y26" s="86"/>
      <c r="Z26" s="86"/>
      <c r="AA26" s="86"/>
      <c r="AB26" s="86"/>
      <c r="AC26" s="86"/>
      <c r="AD26" s="86"/>
      <c r="AE26" s="86"/>
      <c r="AF26" s="86"/>
      <c r="AG26" s="86"/>
      <c r="AH26" s="86"/>
      <c r="AI26" s="86"/>
      <c r="AJ26" s="86"/>
    </row>
    <row r="27" spans="2:36">
      <c r="B27" s="130"/>
      <c r="C27" s="229"/>
      <c r="D27" s="229"/>
      <c r="E27" s="229"/>
      <c r="F27" s="229"/>
      <c r="G27" s="229"/>
      <c r="H27" s="206"/>
      <c r="I27" s="221"/>
      <c r="J27" s="227"/>
      <c r="K27" s="227"/>
      <c r="L27" s="249"/>
      <c r="M27" s="227"/>
      <c r="N27" s="203"/>
      <c r="O27" s="203"/>
      <c r="P27" s="203"/>
      <c r="Q27" s="203"/>
      <c r="R27" s="203"/>
      <c r="S27" s="203"/>
      <c r="T27" s="203"/>
      <c r="V27" s="86"/>
      <c r="W27" s="86"/>
      <c r="X27" s="86"/>
      <c r="Y27" s="86"/>
      <c r="Z27" s="86"/>
      <c r="AA27" s="86"/>
      <c r="AB27" s="86"/>
      <c r="AC27" s="86"/>
      <c r="AD27" s="86"/>
      <c r="AE27" s="86"/>
      <c r="AF27" s="86"/>
      <c r="AG27" s="86"/>
      <c r="AH27" s="86"/>
      <c r="AI27" s="86"/>
      <c r="AJ27" s="86"/>
    </row>
    <row r="28" spans="2:36">
      <c r="B28" s="130" t="s">
        <v>969</v>
      </c>
      <c r="C28" s="212"/>
      <c r="D28" s="212"/>
      <c r="E28" s="212"/>
      <c r="F28" s="212"/>
      <c r="G28" s="212"/>
      <c r="H28" s="206"/>
      <c r="I28" s="221"/>
      <c r="J28" s="227"/>
      <c r="K28" s="227"/>
      <c r="L28" s="249"/>
      <c r="M28" s="227"/>
      <c r="N28" s="203"/>
      <c r="O28" s="203"/>
      <c r="P28" s="203"/>
      <c r="Q28" s="203"/>
      <c r="R28" s="203"/>
      <c r="S28" s="203"/>
      <c r="T28" s="203"/>
      <c r="V28" s="86"/>
      <c r="W28" s="86"/>
      <c r="X28" s="86"/>
      <c r="Y28" s="86"/>
      <c r="Z28" s="86"/>
      <c r="AA28" s="86"/>
      <c r="AB28" s="86"/>
      <c r="AC28" s="86"/>
      <c r="AD28" s="86"/>
      <c r="AE28" s="86"/>
      <c r="AF28" s="86"/>
      <c r="AG28" s="86"/>
      <c r="AH28" s="86"/>
      <c r="AI28" s="86"/>
      <c r="AJ28" s="86"/>
    </row>
    <row r="29" spans="2:36">
      <c r="B29" s="131" t="s">
        <v>463</v>
      </c>
      <c r="C29" s="228">
        <v>26.4</v>
      </c>
      <c r="D29" s="228" t="s">
        <v>378</v>
      </c>
      <c r="E29" s="228"/>
      <c r="F29" s="228">
        <v>19.3</v>
      </c>
      <c r="G29" s="228" t="s">
        <v>383</v>
      </c>
      <c r="H29" s="206"/>
      <c r="I29" s="221" t="s">
        <v>964</v>
      </c>
      <c r="J29" s="227" t="s">
        <v>964</v>
      </c>
      <c r="K29" s="227"/>
      <c r="L29" s="249" t="s">
        <v>964</v>
      </c>
      <c r="M29" s="227" t="s">
        <v>964</v>
      </c>
      <c r="N29" s="203"/>
      <c r="O29" s="203"/>
      <c r="P29" s="203"/>
      <c r="Q29" s="203"/>
      <c r="R29" s="203"/>
      <c r="S29" s="203"/>
      <c r="T29" s="203"/>
      <c r="V29" s="86"/>
      <c r="W29" s="86"/>
      <c r="X29" s="86"/>
      <c r="Y29" s="86"/>
      <c r="Z29" s="86"/>
      <c r="AA29" s="86"/>
      <c r="AB29" s="86"/>
      <c r="AC29" s="86"/>
      <c r="AD29" s="86"/>
      <c r="AE29" s="86"/>
      <c r="AF29" s="86"/>
      <c r="AG29" s="86"/>
      <c r="AH29" s="86"/>
      <c r="AI29" s="86"/>
      <c r="AJ29" s="86"/>
    </row>
    <row r="30" spans="2:36">
      <c r="B30" s="131">
        <v>2</v>
      </c>
      <c r="C30" s="228">
        <v>21.6</v>
      </c>
      <c r="D30" s="228" t="s">
        <v>379</v>
      </c>
      <c r="E30" s="228"/>
      <c r="F30" s="228">
        <v>14.3</v>
      </c>
      <c r="G30" s="228" t="s">
        <v>384</v>
      </c>
      <c r="H30" s="206"/>
      <c r="I30" s="221" t="s">
        <v>964</v>
      </c>
      <c r="J30" s="227" t="s">
        <v>964</v>
      </c>
      <c r="K30" s="227"/>
      <c r="L30" s="249" t="s">
        <v>964</v>
      </c>
      <c r="M30" s="227" t="s">
        <v>964</v>
      </c>
      <c r="N30" s="203"/>
      <c r="O30" s="203"/>
      <c r="P30" s="203"/>
      <c r="Q30" s="203"/>
      <c r="R30" s="203"/>
      <c r="S30" s="203"/>
      <c r="T30" s="203"/>
      <c r="V30" s="86"/>
      <c r="W30" s="86"/>
      <c r="X30" s="86"/>
      <c r="Y30" s="86"/>
      <c r="Z30" s="86"/>
      <c r="AA30" s="86"/>
      <c r="AB30" s="86"/>
      <c r="AC30" s="86"/>
      <c r="AD30" s="86"/>
      <c r="AE30" s="86"/>
      <c r="AF30" s="86"/>
      <c r="AG30" s="86"/>
      <c r="AH30" s="86"/>
      <c r="AI30" s="86"/>
      <c r="AJ30" s="86"/>
    </row>
    <row r="31" spans="2:36">
      <c r="B31" s="131">
        <v>3</v>
      </c>
      <c r="C31" s="228">
        <v>17.2</v>
      </c>
      <c r="D31" s="228" t="s">
        <v>380</v>
      </c>
      <c r="E31" s="228"/>
      <c r="F31" s="228">
        <v>10.4</v>
      </c>
      <c r="G31" s="228" t="s">
        <v>385</v>
      </c>
      <c r="H31" s="206"/>
      <c r="I31" s="221" t="s">
        <v>964</v>
      </c>
      <c r="J31" s="227" t="s">
        <v>964</v>
      </c>
      <c r="K31" s="227"/>
      <c r="L31" s="249" t="s">
        <v>964</v>
      </c>
      <c r="M31" s="227" t="s">
        <v>964</v>
      </c>
      <c r="N31" s="203"/>
      <c r="O31" s="203"/>
      <c r="P31" s="203"/>
      <c r="Q31" s="203"/>
      <c r="R31" s="203"/>
      <c r="S31" s="203"/>
      <c r="T31" s="203"/>
      <c r="V31" s="86"/>
      <c r="W31" s="86"/>
      <c r="X31" s="86"/>
      <c r="Y31" s="86"/>
      <c r="Z31" s="86"/>
      <c r="AA31" s="86"/>
      <c r="AB31" s="86"/>
      <c r="AC31" s="86"/>
      <c r="AD31" s="86"/>
      <c r="AE31" s="86"/>
      <c r="AF31" s="86"/>
      <c r="AG31" s="86"/>
      <c r="AH31" s="86"/>
      <c r="AI31" s="86"/>
      <c r="AJ31" s="86"/>
    </row>
    <row r="32" spans="2:36">
      <c r="B32" s="131">
        <v>4</v>
      </c>
      <c r="C32" s="228">
        <v>12.2</v>
      </c>
      <c r="D32" s="228" t="s">
        <v>381</v>
      </c>
      <c r="E32" s="228"/>
      <c r="F32" s="228">
        <v>8.4</v>
      </c>
      <c r="G32" s="228" t="s">
        <v>386</v>
      </c>
      <c r="H32" s="206"/>
      <c r="I32" s="221" t="s">
        <v>964</v>
      </c>
      <c r="J32" s="227" t="s">
        <v>964</v>
      </c>
      <c r="K32" s="227"/>
      <c r="L32" s="249" t="s">
        <v>964</v>
      </c>
      <c r="M32" s="227" t="s">
        <v>964</v>
      </c>
      <c r="N32" s="203"/>
      <c r="O32" s="203"/>
      <c r="P32" s="203"/>
      <c r="Q32" s="203"/>
      <c r="R32" s="203"/>
      <c r="S32" s="203"/>
      <c r="T32" s="203"/>
      <c r="V32" s="86"/>
      <c r="W32" s="86"/>
      <c r="X32" s="86"/>
      <c r="Y32" s="86"/>
      <c r="Z32" s="86"/>
      <c r="AA32" s="86"/>
      <c r="AB32" s="86"/>
      <c r="AC32" s="86"/>
      <c r="AD32" s="86"/>
      <c r="AE32" s="86"/>
      <c r="AF32" s="86"/>
      <c r="AG32" s="86"/>
      <c r="AH32" s="86"/>
      <c r="AI32" s="86"/>
      <c r="AJ32" s="86"/>
    </row>
    <row r="33" spans="2:36">
      <c r="B33" s="133" t="s">
        <v>464</v>
      </c>
      <c r="C33" s="230">
        <v>8.6999999999999993</v>
      </c>
      <c r="D33" s="230" t="s">
        <v>382</v>
      </c>
      <c r="E33" s="230"/>
      <c r="F33" s="230">
        <v>5.2</v>
      </c>
      <c r="G33" s="230" t="s">
        <v>387</v>
      </c>
      <c r="H33" s="458"/>
      <c r="I33" s="456" t="s">
        <v>964</v>
      </c>
      <c r="J33" s="457" t="s">
        <v>964</v>
      </c>
      <c r="K33" s="457"/>
      <c r="L33" s="459" t="s">
        <v>964</v>
      </c>
      <c r="M33" s="457" t="s">
        <v>964</v>
      </c>
      <c r="N33" s="203"/>
      <c r="O33" s="203"/>
      <c r="P33" s="203"/>
      <c r="Q33" s="203"/>
      <c r="R33" s="203"/>
      <c r="S33" s="203"/>
      <c r="T33" s="203"/>
      <c r="V33" s="86"/>
      <c r="W33" s="86"/>
      <c r="X33" s="86"/>
      <c r="Y33" s="86"/>
      <c r="Z33" s="86"/>
      <c r="AA33" s="86"/>
      <c r="AB33" s="86"/>
      <c r="AC33" s="86"/>
      <c r="AD33" s="86"/>
      <c r="AE33" s="86"/>
      <c r="AF33" s="86"/>
      <c r="AG33" s="86"/>
      <c r="AH33" s="86"/>
      <c r="AI33" s="86"/>
      <c r="AJ33" s="86"/>
    </row>
    <row r="34" spans="2:36">
      <c r="B34" s="420" t="s">
        <v>731</v>
      </c>
      <c r="C34" s="228"/>
      <c r="D34" s="228"/>
      <c r="E34" s="228"/>
      <c r="F34" s="228"/>
      <c r="G34" s="228"/>
      <c r="H34" s="87"/>
    </row>
    <row r="35" spans="2:36">
      <c r="B35" s="60" t="s">
        <v>542</v>
      </c>
      <c r="C35" s="228"/>
      <c r="D35" s="228"/>
      <c r="E35" s="228"/>
      <c r="F35" s="228"/>
      <c r="G35" s="228"/>
      <c r="H35" s="87"/>
    </row>
    <row r="36" spans="2:36">
      <c r="B36" s="60" t="s">
        <v>966</v>
      </c>
      <c r="C36" s="228"/>
      <c r="D36" s="228"/>
      <c r="E36" s="228"/>
      <c r="F36" s="228"/>
      <c r="G36" s="228"/>
      <c r="H36" s="87"/>
    </row>
    <row r="37" spans="2:36" ht="41.25" customHeight="1">
      <c r="B37" s="538" t="s">
        <v>973</v>
      </c>
      <c r="C37" s="538"/>
      <c r="D37" s="538"/>
      <c r="E37" s="538"/>
      <c r="F37" s="538"/>
      <c r="G37" s="538"/>
      <c r="H37" s="538"/>
      <c r="I37" s="538"/>
      <c r="J37" s="538"/>
      <c r="K37" s="538"/>
      <c r="L37" s="538"/>
    </row>
    <row r="38" spans="2:36" ht="36" customHeight="1">
      <c r="B38" s="537" t="s">
        <v>974</v>
      </c>
      <c r="C38" s="537"/>
      <c r="D38" s="537"/>
      <c r="E38" s="537"/>
      <c r="F38" s="537"/>
      <c r="G38" s="537"/>
      <c r="H38" s="537"/>
      <c r="I38" s="537"/>
      <c r="J38" s="537"/>
      <c r="K38" s="537"/>
      <c r="L38" s="537"/>
      <c r="M38" s="69"/>
      <c r="N38" s="69"/>
      <c r="O38" s="69"/>
      <c r="P38" s="69"/>
      <c r="Q38" s="69"/>
      <c r="R38" s="69"/>
      <c r="S38" s="69"/>
      <c r="T38" s="69"/>
      <c r="U38" s="69"/>
    </row>
    <row r="39" spans="2:36" ht="14.25" customHeight="1">
      <c r="B39" s="64" t="s">
        <v>474</v>
      </c>
      <c r="C39" s="87"/>
      <c r="D39" s="87"/>
      <c r="E39" s="87"/>
      <c r="F39" s="87"/>
      <c r="G39" s="87"/>
      <c r="H39" s="87"/>
    </row>
    <row r="40" spans="2:36" ht="14.25" customHeight="1">
      <c r="B40" s="64" t="s">
        <v>972</v>
      </c>
      <c r="C40" s="87"/>
      <c r="D40" s="87"/>
      <c r="E40" s="87"/>
      <c r="F40" s="87"/>
      <c r="G40" s="87"/>
      <c r="H40" s="87"/>
    </row>
    <row r="41" spans="2:36" ht="15" customHeight="1">
      <c r="B41" s="66" t="s">
        <v>39</v>
      </c>
      <c r="C41" s="66"/>
      <c r="D41" s="66"/>
      <c r="E41" s="66"/>
      <c r="F41" s="66"/>
    </row>
    <row r="42" spans="2:36" ht="15" customHeight="1">
      <c r="B42" s="62" t="s">
        <v>48</v>
      </c>
      <c r="C42" s="62"/>
      <c r="D42" s="62"/>
      <c r="E42" s="62"/>
      <c r="F42" s="62"/>
    </row>
    <row r="43" spans="2:36" ht="24" customHeight="1">
      <c r="B43" s="500" t="s">
        <v>194</v>
      </c>
      <c r="C43" s="500"/>
      <c r="D43" s="500"/>
      <c r="E43" s="500"/>
      <c r="F43" s="500"/>
      <c r="G43" s="500"/>
      <c r="H43" s="500"/>
      <c r="I43" s="63"/>
    </row>
    <row r="44" spans="2:36" ht="24" customHeight="1">
      <c r="B44" s="500" t="s">
        <v>196</v>
      </c>
      <c r="C44" s="500"/>
      <c r="D44" s="500"/>
      <c r="E44" s="500"/>
      <c r="F44" s="500"/>
      <c r="G44" s="500"/>
      <c r="H44" s="500"/>
      <c r="I44" s="59"/>
    </row>
    <row r="45" spans="2:36" ht="24" customHeight="1">
      <c r="B45" s="540" t="s">
        <v>197</v>
      </c>
      <c r="C45" s="540"/>
      <c r="D45" s="540"/>
      <c r="E45" s="540"/>
      <c r="F45" s="540"/>
      <c r="G45" s="540"/>
      <c r="H45" s="540"/>
    </row>
    <row r="46" spans="2:36">
      <c r="B46" s="61" t="s">
        <v>513</v>
      </c>
    </row>
    <row r="47" spans="2:36" ht="22.5" customHeight="1">
      <c r="B47" s="539" t="s">
        <v>1073</v>
      </c>
      <c r="C47" s="539"/>
      <c r="D47" s="539"/>
      <c r="E47" s="539"/>
      <c r="F47" s="539"/>
      <c r="G47" s="539"/>
    </row>
    <row r="48" spans="2:36" ht="22.5" customHeight="1">
      <c r="B48" s="539" t="s">
        <v>1074</v>
      </c>
      <c r="C48" s="539"/>
      <c r="D48" s="539"/>
      <c r="E48" s="539"/>
      <c r="F48" s="539"/>
      <c r="G48" s="539"/>
    </row>
    <row r="50" spans="1:20">
      <c r="A50" s="35"/>
      <c r="B50" s="35"/>
      <c r="C50" s="35"/>
      <c r="D50" s="35"/>
      <c r="E50" s="35"/>
      <c r="F50" s="35"/>
      <c r="G50" s="35"/>
      <c r="H50" s="35"/>
      <c r="I50" s="35"/>
      <c r="J50" s="35"/>
      <c r="K50" s="35"/>
      <c r="L50" s="35"/>
      <c r="M50" s="35"/>
      <c r="N50" s="35"/>
      <c r="O50" s="35"/>
      <c r="P50" s="35"/>
      <c r="Q50" s="35"/>
      <c r="R50" s="35"/>
      <c r="S50" s="35"/>
      <c r="T50" s="35"/>
    </row>
    <row r="51" spans="1:20">
      <c r="A51" s="35"/>
      <c r="B51" s="89"/>
      <c r="C51" s="35"/>
      <c r="D51" s="35"/>
      <c r="E51" s="35"/>
      <c r="F51" s="35"/>
      <c r="G51" s="35"/>
      <c r="H51" s="35"/>
      <c r="I51" s="35"/>
      <c r="J51" s="35"/>
      <c r="K51" s="35"/>
      <c r="L51" s="35"/>
      <c r="M51" s="35"/>
      <c r="N51" s="35"/>
      <c r="O51" s="35"/>
      <c r="P51" s="35"/>
      <c r="Q51" s="35"/>
      <c r="R51" s="35"/>
      <c r="S51" s="35"/>
      <c r="T51" s="35"/>
    </row>
    <row r="52" spans="1:20">
      <c r="A52" s="35"/>
      <c r="B52" s="89"/>
      <c r="C52" s="35"/>
      <c r="D52" s="35"/>
      <c r="E52" s="35"/>
      <c r="F52" s="35"/>
      <c r="G52" s="35"/>
      <c r="H52" s="35"/>
      <c r="I52" s="35"/>
      <c r="J52" s="35"/>
      <c r="K52" s="35"/>
      <c r="L52" s="35"/>
      <c r="M52" s="35"/>
      <c r="N52" s="35"/>
      <c r="O52" s="35"/>
      <c r="P52" s="35"/>
      <c r="Q52" s="35"/>
      <c r="R52" s="35"/>
      <c r="S52" s="35"/>
      <c r="T52" s="35"/>
    </row>
    <row r="53" spans="1:20">
      <c r="A53" s="35"/>
      <c r="B53" s="35"/>
      <c r="C53" s="35"/>
      <c r="D53" s="35"/>
      <c r="E53" s="35"/>
      <c r="F53" s="35"/>
      <c r="G53" s="35"/>
      <c r="H53" s="35"/>
      <c r="I53" s="35"/>
      <c r="J53" s="35"/>
      <c r="K53" s="35"/>
      <c r="L53" s="35"/>
      <c r="M53" s="35"/>
      <c r="N53" s="35"/>
      <c r="O53" s="35"/>
      <c r="P53" s="35"/>
      <c r="Q53" s="35"/>
      <c r="R53" s="35"/>
      <c r="S53" s="35"/>
      <c r="T53" s="35"/>
    </row>
    <row r="54" spans="1:20">
      <c r="A54" s="35"/>
      <c r="B54" s="35"/>
      <c r="C54" s="35"/>
      <c r="D54" s="35"/>
      <c r="E54" s="35"/>
      <c r="F54" s="35"/>
      <c r="G54" s="35"/>
      <c r="H54" s="35"/>
      <c r="I54" s="35"/>
      <c r="J54" s="35"/>
      <c r="K54" s="35"/>
      <c r="L54" s="35"/>
      <c r="M54" s="35"/>
      <c r="N54" s="35"/>
      <c r="O54" s="35"/>
      <c r="P54" s="35"/>
      <c r="Q54" s="35"/>
      <c r="R54" s="35"/>
      <c r="S54" s="35"/>
      <c r="T54" s="35"/>
    </row>
    <row r="55" spans="1:20">
      <c r="A55" s="35"/>
      <c r="B55" s="35"/>
      <c r="C55" s="35"/>
      <c r="D55" s="35"/>
      <c r="E55" s="35"/>
      <c r="F55" s="35"/>
      <c r="G55" s="35"/>
      <c r="H55" s="35"/>
      <c r="I55" s="35"/>
      <c r="J55" s="35"/>
      <c r="K55" s="35"/>
      <c r="L55" s="35"/>
      <c r="M55" s="35"/>
      <c r="N55" s="35"/>
      <c r="O55" s="35"/>
      <c r="P55" s="35"/>
      <c r="Q55" s="35"/>
      <c r="R55" s="35"/>
      <c r="S55" s="35"/>
      <c r="T55" s="35"/>
    </row>
    <row r="56" spans="1:20">
      <c r="A56" s="35"/>
      <c r="B56" s="35"/>
      <c r="C56" s="35"/>
      <c r="D56" s="35"/>
      <c r="E56" s="35"/>
      <c r="F56" s="35"/>
      <c r="G56" s="35"/>
      <c r="H56" s="35"/>
      <c r="I56" s="35"/>
      <c r="J56" s="35"/>
      <c r="K56" s="35"/>
      <c r="L56" s="35"/>
      <c r="M56" s="35"/>
      <c r="N56" s="35"/>
      <c r="O56" s="35"/>
      <c r="P56" s="35"/>
      <c r="Q56" s="35"/>
      <c r="R56" s="35"/>
      <c r="S56" s="35"/>
      <c r="T56" s="35"/>
    </row>
  </sheetData>
  <mergeCells count="14">
    <mergeCell ref="B48:G48"/>
    <mergeCell ref="B45:H45"/>
    <mergeCell ref="C8:G8"/>
    <mergeCell ref="B43:H43"/>
    <mergeCell ref="B44:H44"/>
    <mergeCell ref="F9:G9"/>
    <mergeCell ref="C9:D9"/>
    <mergeCell ref="B47:G47"/>
    <mergeCell ref="I9:J9"/>
    <mergeCell ref="N1:O1"/>
    <mergeCell ref="L9:M9"/>
    <mergeCell ref="I8:M8"/>
    <mergeCell ref="B38:L38"/>
    <mergeCell ref="B37:L37"/>
  </mergeCells>
  <hyperlinks>
    <hyperlink ref="N1:O1" location="Contents!A1" display="Return to contents" xr:uid="{BF4317A2-DD0A-44C3-B2AC-70D9ACDC2FD7}"/>
  </hyperlinks>
  <pageMargins left="0.7" right="0.7" top="0.75" bottom="0.75" header="0.3" footer="0.3"/>
  <pageSetup paperSize="9" orientation="portrait" r:id="rId1"/>
  <ignoredErrors>
    <ignoredError sqref="G16" twoDigitTextYear="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AF31"/>
  <sheetViews>
    <sheetView showGridLines="0" zoomScaleNormal="100" workbookViewId="0">
      <selection activeCell="M1" sqref="M1:N1"/>
    </sheetView>
  </sheetViews>
  <sheetFormatPr defaultRowHeight="15"/>
  <cols>
    <col min="2" max="2" width="25.140625" bestFit="1" customWidth="1"/>
    <col min="3" max="3" width="6.5703125" bestFit="1" customWidth="1"/>
    <col min="4" max="4" width="7.85546875" bestFit="1" customWidth="1"/>
    <col min="5" max="5" width="2.7109375" customWidth="1"/>
    <col min="6" max="6" width="4" bestFit="1" customWidth="1"/>
    <col min="7" max="7" width="9.140625" customWidth="1"/>
    <col min="8" max="8" width="8" customWidth="1"/>
    <col min="9" max="9" width="4" bestFit="1" customWidth="1"/>
    <col min="10" max="10" width="7.85546875" bestFit="1" customWidth="1"/>
    <col min="11" max="12" width="6" customWidth="1"/>
    <col min="13" max="16" width="7.5703125" customWidth="1"/>
    <col min="17" max="17" width="21.85546875" customWidth="1"/>
    <col min="18" max="32" width="7.5703125" customWidth="1"/>
  </cols>
  <sheetData>
    <row r="1" spans="2:32" ht="16.5" thickTop="1" thickBot="1">
      <c r="M1" s="498" t="s">
        <v>3</v>
      </c>
      <c r="N1" s="499"/>
    </row>
    <row r="2" spans="2:32" ht="15.75" thickTop="1"/>
    <row r="5" spans="2:32" ht="44.25" customHeight="1">
      <c r="B5" s="503" t="s">
        <v>977</v>
      </c>
      <c r="C5" s="503"/>
      <c r="D5" s="503"/>
      <c r="E5" s="503"/>
      <c r="F5" s="503"/>
      <c r="G5" s="542"/>
      <c r="H5" s="542"/>
      <c r="I5" s="542"/>
      <c r="J5" s="542"/>
      <c r="K5" s="542"/>
      <c r="L5" s="542"/>
      <c r="M5" s="542"/>
      <c r="N5" s="24"/>
      <c r="O5" s="24"/>
      <c r="P5" s="24"/>
      <c r="Q5" s="503" t="s">
        <v>994</v>
      </c>
      <c r="R5" s="503"/>
      <c r="S5" s="503"/>
      <c r="T5" s="503"/>
      <c r="U5" s="503"/>
      <c r="V5" s="503"/>
      <c r="W5" s="503"/>
      <c r="X5" s="24"/>
      <c r="Y5" s="24"/>
      <c r="Z5" s="24"/>
      <c r="AA5" s="24"/>
      <c r="AB5" s="24"/>
      <c r="AC5" s="24"/>
      <c r="AD5" s="24"/>
      <c r="AE5" s="24"/>
      <c r="AF5" s="24"/>
    </row>
    <row r="7" spans="2:32" ht="33.75" customHeight="1">
      <c r="B7" s="42"/>
      <c r="C7" s="497" t="s">
        <v>990</v>
      </c>
      <c r="D7" s="497"/>
      <c r="E7" s="497"/>
      <c r="F7" s="497"/>
      <c r="G7" s="497"/>
      <c r="H7" s="509" t="s">
        <v>991</v>
      </c>
      <c r="I7" s="509"/>
      <c r="J7" s="509"/>
      <c r="K7" s="509"/>
      <c r="L7" s="509"/>
      <c r="M7" s="509"/>
      <c r="N7" s="465"/>
      <c r="O7" s="465"/>
      <c r="P7" s="465"/>
      <c r="Q7" s="466"/>
      <c r="R7" s="543" t="s">
        <v>987</v>
      </c>
      <c r="S7" s="543"/>
      <c r="T7" s="543"/>
      <c r="U7" s="543"/>
      <c r="V7" s="543"/>
      <c r="W7" s="465"/>
      <c r="X7" s="465"/>
      <c r="Y7" s="465"/>
      <c r="Z7" s="465"/>
      <c r="AA7" s="465"/>
      <c r="AB7" s="465"/>
      <c r="AC7" s="465"/>
      <c r="AD7" s="465"/>
      <c r="AE7" s="465"/>
      <c r="AF7" s="465"/>
    </row>
    <row r="8" spans="2:32" ht="15" customHeight="1">
      <c r="B8" s="54"/>
      <c r="C8" s="547" t="s">
        <v>11</v>
      </c>
      <c r="D8" s="547"/>
      <c r="E8" s="84"/>
      <c r="F8" s="547" t="s">
        <v>12</v>
      </c>
      <c r="G8" s="547"/>
      <c r="H8" s="84"/>
      <c r="I8" s="547" t="s">
        <v>11</v>
      </c>
      <c r="J8" s="547"/>
      <c r="K8" s="84"/>
      <c r="L8" s="547" t="s">
        <v>12</v>
      </c>
      <c r="M8" s="547"/>
      <c r="N8" s="138"/>
      <c r="O8" s="138"/>
      <c r="P8" s="138"/>
      <c r="Q8" s="469" t="s">
        <v>206</v>
      </c>
      <c r="R8" s="398" t="s">
        <v>11</v>
      </c>
      <c r="S8" s="398"/>
      <c r="T8" s="253"/>
      <c r="U8" s="398" t="s">
        <v>12</v>
      </c>
      <c r="V8" s="398"/>
      <c r="W8" s="138"/>
      <c r="X8" s="138"/>
      <c r="Y8" s="138"/>
      <c r="Z8" s="138"/>
      <c r="AA8" s="138"/>
      <c r="AB8" s="138"/>
      <c r="AC8" s="138"/>
      <c r="AD8" s="138"/>
      <c r="AE8" s="138"/>
      <c r="AF8" s="138"/>
    </row>
    <row r="9" spans="2:32">
      <c r="B9" s="130" t="s">
        <v>40</v>
      </c>
      <c r="C9" s="134" t="s">
        <v>38</v>
      </c>
      <c r="D9" s="134" t="s">
        <v>91</v>
      </c>
      <c r="E9" s="134"/>
      <c r="F9" s="134" t="s">
        <v>38</v>
      </c>
      <c r="G9" s="134" t="s">
        <v>91</v>
      </c>
      <c r="H9" s="134"/>
      <c r="I9" s="134" t="s">
        <v>38</v>
      </c>
      <c r="J9" s="134" t="s">
        <v>91</v>
      </c>
      <c r="K9" s="134"/>
      <c r="L9" s="134" t="s">
        <v>38</v>
      </c>
      <c r="M9" s="134" t="s">
        <v>91</v>
      </c>
      <c r="N9" s="134"/>
      <c r="O9" s="134"/>
      <c r="P9" s="134"/>
      <c r="Q9" s="254" t="s">
        <v>992</v>
      </c>
      <c r="R9" s="134" t="s">
        <v>38</v>
      </c>
      <c r="S9" s="134" t="s">
        <v>91</v>
      </c>
      <c r="T9" s="255"/>
      <c r="U9" s="134" t="s">
        <v>38</v>
      </c>
      <c r="V9" s="134" t="s">
        <v>91</v>
      </c>
      <c r="W9" s="134"/>
      <c r="X9" s="134"/>
      <c r="Y9" s="134"/>
      <c r="Z9" s="134"/>
      <c r="AA9" s="134"/>
      <c r="AB9" s="134"/>
      <c r="AC9" s="134"/>
      <c r="AD9" s="134"/>
      <c r="AE9" s="134"/>
      <c r="AF9" s="134"/>
    </row>
    <row r="10" spans="2:32">
      <c r="B10" s="232" t="s">
        <v>976</v>
      </c>
      <c r="C10" s="137" t="s">
        <v>975</v>
      </c>
      <c r="D10" s="143" t="s">
        <v>951</v>
      </c>
      <c r="E10" s="143"/>
      <c r="F10" s="137">
        <v>0</v>
      </c>
      <c r="G10" s="143" t="s">
        <v>951</v>
      </c>
      <c r="H10" s="228"/>
      <c r="I10" s="137">
        <v>2</v>
      </c>
      <c r="J10" s="143" t="s">
        <v>951</v>
      </c>
      <c r="K10" s="198"/>
      <c r="L10" s="137">
        <v>1.5</v>
      </c>
      <c r="M10" s="143" t="s">
        <v>951</v>
      </c>
      <c r="N10" s="143"/>
      <c r="O10" s="143"/>
      <c r="P10" s="143"/>
      <c r="Q10" s="132" t="s">
        <v>988</v>
      </c>
      <c r="R10" s="256">
        <v>22.446000000000002</v>
      </c>
      <c r="S10" s="256" t="s">
        <v>76</v>
      </c>
      <c r="T10" s="467"/>
      <c r="U10" s="256">
        <v>6.8949999999999996</v>
      </c>
      <c r="V10" s="256" t="s">
        <v>77</v>
      </c>
      <c r="W10" s="143"/>
      <c r="X10" s="143"/>
      <c r="Y10" s="143"/>
      <c r="Z10" s="143"/>
      <c r="AA10" s="143"/>
      <c r="AB10" s="143"/>
      <c r="AC10" s="143"/>
      <c r="AD10" s="143"/>
      <c r="AE10" s="143"/>
      <c r="AF10" s="143"/>
    </row>
    <row r="11" spans="2:32">
      <c r="B11" s="232" t="s">
        <v>6</v>
      </c>
      <c r="C11" s="137">
        <v>17.399999999999999</v>
      </c>
      <c r="D11" s="143" t="s">
        <v>563</v>
      </c>
      <c r="E11" s="143"/>
      <c r="F11" s="137">
        <v>10.199999999999999</v>
      </c>
      <c r="G11" s="144" t="s">
        <v>578</v>
      </c>
      <c r="H11" s="228"/>
      <c r="I11" s="137">
        <v>23.5</v>
      </c>
      <c r="J11" s="198" t="s">
        <v>581</v>
      </c>
      <c r="K11" s="198"/>
      <c r="L11" s="137">
        <v>21.6</v>
      </c>
      <c r="M11" s="198" t="s">
        <v>978</v>
      </c>
      <c r="N11" s="198"/>
      <c r="O11" s="198"/>
      <c r="P11" s="198"/>
      <c r="Q11" s="132" t="s">
        <v>590</v>
      </c>
      <c r="R11" s="256">
        <v>25.542000000000002</v>
      </c>
      <c r="S11" s="256" t="s">
        <v>78</v>
      </c>
      <c r="T11" s="467"/>
      <c r="U11" s="256">
        <v>9.5269999999999992</v>
      </c>
      <c r="V11" s="256" t="s">
        <v>79</v>
      </c>
      <c r="W11" s="198"/>
      <c r="X11" s="198"/>
      <c r="Y11" s="198"/>
      <c r="Z11" s="198"/>
      <c r="AA11" s="198"/>
      <c r="AB11" s="198"/>
      <c r="AC11" s="198"/>
      <c r="AD11" s="198"/>
      <c r="AE11" s="198"/>
      <c r="AF11" s="198"/>
    </row>
    <row r="12" spans="2:32">
      <c r="B12" s="232" t="s">
        <v>7</v>
      </c>
      <c r="C12" s="137">
        <v>23.6</v>
      </c>
      <c r="D12" s="143" t="s">
        <v>570</v>
      </c>
      <c r="E12" s="143"/>
      <c r="F12" s="137">
        <v>9.3000000000000007</v>
      </c>
      <c r="G12" s="144" t="s">
        <v>572</v>
      </c>
      <c r="H12" s="228"/>
      <c r="I12" s="137">
        <v>29</v>
      </c>
      <c r="J12" s="198" t="s">
        <v>582</v>
      </c>
      <c r="K12" s="198"/>
      <c r="L12" s="137">
        <v>12.9</v>
      </c>
      <c r="M12" s="198" t="s">
        <v>979</v>
      </c>
      <c r="N12" s="198"/>
      <c r="O12" s="198"/>
      <c r="P12" s="198"/>
      <c r="Q12" s="132" t="s">
        <v>591</v>
      </c>
      <c r="R12" s="256">
        <v>23.504000000000001</v>
      </c>
      <c r="S12" s="256" t="s">
        <v>80</v>
      </c>
      <c r="T12" s="467"/>
      <c r="U12" s="256">
        <v>8.0489999999999995</v>
      </c>
      <c r="V12" s="256" t="s">
        <v>81</v>
      </c>
      <c r="W12" s="198"/>
      <c r="X12" s="198"/>
      <c r="Y12" s="198"/>
      <c r="Z12" s="198"/>
      <c r="AA12" s="198"/>
      <c r="AB12" s="198"/>
      <c r="AC12" s="198"/>
      <c r="AD12" s="198"/>
      <c r="AE12" s="198"/>
      <c r="AF12" s="198"/>
    </row>
    <row r="13" spans="2:32">
      <c r="B13" s="232" t="s">
        <v>8</v>
      </c>
      <c r="C13" s="137">
        <v>26.5</v>
      </c>
      <c r="D13" s="143" t="s">
        <v>564</v>
      </c>
      <c r="E13" s="143"/>
      <c r="F13" s="137">
        <v>11.6</v>
      </c>
      <c r="G13" s="144" t="s">
        <v>579</v>
      </c>
      <c r="H13" s="228"/>
      <c r="I13" s="137">
        <v>23.8</v>
      </c>
      <c r="J13" s="198" t="s">
        <v>589</v>
      </c>
      <c r="K13" s="198"/>
      <c r="L13" s="137">
        <v>9.4</v>
      </c>
      <c r="M13" s="198" t="s">
        <v>980</v>
      </c>
      <c r="N13" s="198"/>
      <c r="O13" s="198"/>
      <c r="P13" s="198"/>
      <c r="Q13" s="132" t="s">
        <v>592</v>
      </c>
      <c r="R13" s="256">
        <v>22.085999999999999</v>
      </c>
      <c r="S13" s="256" t="s">
        <v>82</v>
      </c>
      <c r="T13" s="467"/>
      <c r="U13" s="256">
        <v>10.282999999999999</v>
      </c>
      <c r="V13" s="256" t="s">
        <v>83</v>
      </c>
      <c r="W13" s="198"/>
      <c r="X13" s="198"/>
      <c r="Y13" s="198"/>
      <c r="Z13" s="198"/>
      <c r="AA13" s="198"/>
      <c r="AB13" s="198"/>
      <c r="AC13" s="198"/>
      <c r="AD13" s="198"/>
      <c r="AE13" s="198"/>
      <c r="AF13" s="198"/>
    </row>
    <row r="14" spans="2:32">
      <c r="B14" s="232" t="s">
        <v>9</v>
      </c>
      <c r="C14" s="137">
        <v>31.5</v>
      </c>
      <c r="D14" s="143" t="s">
        <v>565</v>
      </c>
      <c r="E14" s="143"/>
      <c r="F14" s="137">
        <v>15.9</v>
      </c>
      <c r="G14" s="144" t="s">
        <v>573</v>
      </c>
      <c r="H14" s="228"/>
      <c r="I14" s="137">
        <v>26.5</v>
      </c>
      <c r="J14" s="198" t="s">
        <v>583</v>
      </c>
      <c r="K14" s="198"/>
      <c r="L14" s="137">
        <v>13.6</v>
      </c>
      <c r="M14" s="198" t="s">
        <v>981</v>
      </c>
      <c r="N14" s="198"/>
      <c r="O14" s="198"/>
      <c r="P14" s="198"/>
      <c r="Q14" s="132" t="s">
        <v>989</v>
      </c>
      <c r="R14" s="256">
        <v>25.24</v>
      </c>
      <c r="S14" s="256" t="s">
        <v>84</v>
      </c>
      <c r="T14" s="467"/>
      <c r="U14" s="256">
        <v>9.8629999999999995</v>
      </c>
      <c r="V14" s="256" t="s">
        <v>85</v>
      </c>
      <c r="W14" s="198"/>
      <c r="X14" s="198"/>
      <c r="Y14" s="198"/>
      <c r="Z14" s="198"/>
      <c r="AA14" s="198"/>
      <c r="AB14" s="198"/>
      <c r="AC14" s="198"/>
      <c r="AD14" s="198"/>
      <c r="AE14" s="198"/>
      <c r="AF14" s="198"/>
    </row>
    <row r="15" spans="2:32">
      <c r="B15" s="232" t="s">
        <v>10</v>
      </c>
      <c r="C15" s="137">
        <v>32</v>
      </c>
      <c r="D15" s="143" t="s">
        <v>566</v>
      </c>
      <c r="E15" s="143"/>
      <c r="F15" s="137">
        <v>18.2</v>
      </c>
      <c r="G15" s="144" t="s">
        <v>574</v>
      </c>
      <c r="H15" s="228"/>
      <c r="I15" s="137">
        <v>24.6</v>
      </c>
      <c r="J15" s="198" t="s">
        <v>584</v>
      </c>
      <c r="K15" s="198"/>
      <c r="L15" s="137">
        <v>11.5</v>
      </c>
      <c r="M15" s="198" t="s">
        <v>982</v>
      </c>
      <c r="N15" s="198"/>
      <c r="O15" s="198"/>
      <c r="P15" s="198"/>
      <c r="Q15" s="254"/>
      <c r="R15" s="256"/>
      <c r="S15" s="256"/>
      <c r="T15" s="467"/>
      <c r="U15" s="256"/>
      <c r="V15" s="256"/>
      <c r="W15" s="198"/>
      <c r="X15" s="198"/>
      <c r="Y15" s="198"/>
      <c r="Z15" s="198"/>
      <c r="AA15" s="198"/>
      <c r="AB15" s="198"/>
      <c r="AC15" s="198"/>
      <c r="AD15" s="198"/>
      <c r="AE15" s="198"/>
      <c r="AF15" s="198"/>
    </row>
    <row r="16" spans="2:32">
      <c r="B16" s="232" t="s">
        <v>13</v>
      </c>
      <c r="C16" s="137">
        <v>29.4</v>
      </c>
      <c r="D16" s="143" t="s">
        <v>567</v>
      </c>
      <c r="E16" s="143"/>
      <c r="F16" s="137">
        <v>13.9</v>
      </c>
      <c r="G16" s="144" t="s">
        <v>575</v>
      </c>
      <c r="H16" s="228"/>
      <c r="I16" s="137">
        <v>19.899999999999999</v>
      </c>
      <c r="J16" s="198" t="s">
        <v>585</v>
      </c>
      <c r="K16" s="198"/>
      <c r="L16" s="137">
        <v>4.3</v>
      </c>
      <c r="M16" s="198" t="s">
        <v>983</v>
      </c>
      <c r="N16" s="198"/>
      <c r="O16" s="198"/>
      <c r="P16" s="198"/>
      <c r="Q16" s="254" t="s">
        <v>208</v>
      </c>
      <c r="R16" s="256"/>
      <c r="S16" s="256"/>
      <c r="T16" s="467"/>
      <c r="U16" s="256"/>
      <c r="V16" s="256"/>
      <c r="W16" s="198"/>
      <c r="X16" s="198"/>
      <c r="Y16" s="198"/>
      <c r="Z16" s="198"/>
      <c r="AA16" s="198"/>
      <c r="AB16" s="198"/>
      <c r="AC16" s="198"/>
      <c r="AD16" s="198"/>
      <c r="AE16" s="198"/>
      <c r="AF16" s="198"/>
    </row>
    <row r="17" spans="2:32">
      <c r="B17" s="252" t="s">
        <v>14</v>
      </c>
      <c r="C17" s="125">
        <v>24.1</v>
      </c>
      <c r="D17" s="143" t="s">
        <v>571</v>
      </c>
      <c r="E17" s="143"/>
      <c r="F17" s="198">
        <v>14.6</v>
      </c>
      <c r="G17" s="144" t="s">
        <v>576</v>
      </c>
      <c r="H17" s="228"/>
      <c r="I17" s="125">
        <v>10.9</v>
      </c>
      <c r="J17" s="198" t="s">
        <v>586</v>
      </c>
      <c r="K17" s="198"/>
      <c r="L17" s="125">
        <v>3.4</v>
      </c>
      <c r="M17" s="198" t="s">
        <v>984</v>
      </c>
      <c r="N17" s="198"/>
      <c r="O17" s="198"/>
      <c r="P17" s="198"/>
      <c r="Q17" s="132" t="s">
        <v>52</v>
      </c>
      <c r="R17" s="256">
        <v>21.457999999999998</v>
      </c>
      <c r="S17" s="256" t="s">
        <v>896</v>
      </c>
      <c r="T17" s="467"/>
      <c r="U17" s="256">
        <v>8.2479999999999993</v>
      </c>
      <c r="V17" s="256" t="s">
        <v>897</v>
      </c>
      <c r="W17" s="198"/>
      <c r="X17" s="198"/>
      <c r="Y17" s="198"/>
      <c r="Z17" s="198"/>
      <c r="AA17" s="198"/>
      <c r="AB17" s="198"/>
      <c r="AC17" s="198"/>
      <c r="AD17" s="198"/>
      <c r="AE17" s="198"/>
      <c r="AF17" s="198"/>
    </row>
    <row r="18" spans="2:32">
      <c r="B18" s="232" t="s">
        <v>537</v>
      </c>
      <c r="C18" s="125">
        <v>25.7</v>
      </c>
      <c r="D18" s="143" t="s">
        <v>568</v>
      </c>
      <c r="E18" s="143"/>
      <c r="F18" s="198">
        <v>12.9</v>
      </c>
      <c r="G18" s="144" t="s">
        <v>577</v>
      </c>
      <c r="H18" s="228"/>
      <c r="I18" s="125">
        <v>22.5</v>
      </c>
      <c r="J18" s="198" t="s">
        <v>587</v>
      </c>
      <c r="K18" s="198"/>
      <c r="L18" s="125">
        <v>10.8</v>
      </c>
      <c r="M18" s="198" t="s">
        <v>985</v>
      </c>
      <c r="N18" s="198"/>
      <c r="O18" s="198"/>
      <c r="P18" s="198"/>
      <c r="Q18" s="132" t="s">
        <v>53</v>
      </c>
      <c r="R18" s="256">
        <v>27.919</v>
      </c>
      <c r="S18" s="256" t="s">
        <v>894</v>
      </c>
      <c r="T18" s="467"/>
      <c r="U18" s="256">
        <v>10.189</v>
      </c>
      <c r="V18" s="256" t="s">
        <v>898</v>
      </c>
      <c r="W18" s="198"/>
      <c r="X18" s="198"/>
      <c r="Y18" s="198"/>
      <c r="Z18" s="198"/>
      <c r="AA18" s="198"/>
      <c r="AB18" s="198"/>
      <c r="AC18" s="198"/>
      <c r="AD18" s="198"/>
      <c r="AE18" s="198"/>
      <c r="AF18" s="198"/>
    </row>
    <row r="19" spans="2:32">
      <c r="B19" s="460" t="s">
        <v>55</v>
      </c>
      <c r="C19" s="366">
        <v>26.8</v>
      </c>
      <c r="D19" s="461" t="s">
        <v>569</v>
      </c>
      <c r="E19" s="461"/>
      <c r="F19" s="462">
        <v>13.4</v>
      </c>
      <c r="G19" s="463" t="s">
        <v>580</v>
      </c>
      <c r="H19" s="470"/>
      <c r="I19" s="366">
        <v>23.5</v>
      </c>
      <c r="J19" s="462" t="s">
        <v>588</v>
      </c>
      <c r="K19" s="462"/>
      <c r="L19" s="366">
        <v>11.3</v>
      </c>
      <c r="M19" s="462" t="s">
        <v>986</v>
      </c>
      <c r="N19" s="198"/>
      <c r="O19" s="198"/>
      <c r="P19" s="198"/>
      <c r="Q19" s="257" t="s">
        <v>893</v>
      </c>
      <c r="R19" s="362">
        <v>36.701000000000001</v>
      </c>
      <c r="S19" s="363" t="s">
        <v>895</v>
      </c>
      <c r="T19" s="468"/>
      <c r="U19" s="364">
        <v>11.95</v>
      </c>
      <c r="V19" s="364" t="s">
        <v>899</v>
      </c>
      <c r="W19" s="198"/>
      <c r="X19" s="198"/>
      <c r="Y19" s="198"/>
      <c r="Z19" s="198"/>
      <c r="AA19" s="198"/>
      <c r="AB19" s="198"/>
      <c r="AC19" s="198"/>
      <c r="AD19" s="198"/>
      <c r="AE19" s="198"/>
      <c r="AF19" s="198"/>
    </row>
    <row r="20" spans="2:32" ht="15.75" customHeight="1">
      <c r="B20" s="420" t="s">
        <v>731</v>
      </c>
      <c r="C20" s="125"/>
      <c r="D20" s="143"/>
      <c r="E20" s="143"/>
      <c r="F20" s="198"/>
      <c r="G20" s="144"/>
      <c r="H20" s="215"/>
      <c r="I20" s="125"/>
      <c r="J20" s="198"/>
      <c r="K20" s="198"/>
      <c r="L20" s="125"/>
      <c r="M20" s="198"/>
      <c r="N20" s="198"/>
      <c r="O20" s="198"/>
      <c r="P20" s="198"/>
      <c r="Q20" s="544"/>
      <c r="R20" s="544"/>
      <c r="S20" s="544"/>
      <c r="T20" s="544"/>
      <c r="U20" s="544"/>
      <c r="V20" s="544"/>
      <c r="W20" s="198"/>
      <c r="X20" s="198"/>
      <c r="Y20" s="198"/>
      <c r="Z20" s="198"/>
      <c r="AA20" s="198"/>
      <c r="AB20" s="198"/>
      <c r="AC20" s="198"/>
      <c r="AD20" s="198"/>
      <c r="AE20" s="198"/>
      <c r="AF20" s="198"/>
    </row>
    <row r="21" spans="2:32">
      <c r="B21" s="60" t="s">
        <v>542</v>
      </c>
      <c r="C21" s="125"/>
      <c r="D21" s="233"/>
      <c r="E21" s="233"/>
      <c r="F21" s="233"/>
      <c r="G21" s="233"/>
      <c r="H21" s="125"/>
      <c r="I21" s="233"/>
      <c r="J21" s="233"/>
      <c r="K21" s="233"/>
      <c r="L21" s="233"/>
      <c r="M21" s="215"/>
      <c r="N21" s="215"/>
      <c r="O21" s="215"/>
      <c r="P21" s="215"/>
      <c r="Q21" s="59"/>
      <c r="R21" s="215"/>
      <c r="S21" s="215"/>
      <c r="T21" s="215"/>
      <c r="U21" s="215"/>
      <c r="V21" s="215"/>
      <c r="W21" s="215"/>
      <c r="X21" s="215"/>
      <c r="Y21" s="215"/>
      <c r="Z21" s="215"/>
      <c r="AA21" s="215"/>
      <c r="AB21" s="215"/>
      <c r="AC21" s="215"/>
      <c r="AD21" s="215"/>
      <c r="AE21" s="215"/>
      <c r="AF21" s="215"/>
    </row>
    <row r="22" spans="2:32" ht="24" customHeight="1">
      <c r="B22" s="548" t="s">
        <v>995</v>
      </c>
      <c r="C22" s="548"/>
      <c r="D22" s="548"/>
      <c r="E22" s="548"/>
      <c r="F22" s="548"/>
      <c r="G22" s="548"/>
      <c r="H22" s="548"/>
      <c r="I22" s="548"/>
      <c r="J22" s="548"/>
      <c r="K22" s="548"/>
      <c r="L22" s="548"/>
      <c r="M22" s="548"/>
      <c r="N22" s="464"/>
      <c r="O22" s="464"/>
      <c r="P22" s="464"/>
      <c r="Q22" s="524" t="s">
        <v>993</v>
      </c>
      <c r="R22" s="524"/>
      <c r="S22" s="524"/>
      <c r="T22" s="524"/>
      <c r="U22" s="524"/>
      <c r="V22" s="524"/>
      <c r="W22" s="464"/>
      <c r="X22" s="464"/>
      <c r="Y22" s="464"/>
      <c r="Z22" s="464"/>
      <c r="AA22" s="464"/>
      <c r="AB22" s="464"/>
      <c r="AC22" s="464"/>
      <c r="AD22" s="464"/>
      <c r="AE22" s="464"/>
      <c r="AF22" s="464"/>
    </row>
    <row r="23" spans="2:32" ht="24.75" customHeight="1">
      <c r="B23" s="548" t="s">
        <v>996</v>
      </c>
      <c r="C23" s="548"/>
      <c r="D23" s="548"/>
      <c r="E23" s="548"/>
      <c r="F23" s="548"/>
      <c r="G23" s="548"/>
      <c r="H23" s="548"/>
      <c r="I23" s="548"/>
      <c r="J23" s="548"/>
      <c r="K23" s="548"/>
      <c r="L23" s="548"/>
      <c r="M23" s="548"/>
      <c r="N23" s="464"/>
      <c r="O23" s="464"/>
      <c r="P23" s="464"/>
      <c r="Q23" s="59" t="s">
        <v>209</v>
      </c>
      <c r="R23" s="215"/>
      <c r="S23" s="215"/>
      <c r="T23" s="215"/>
      <c r="U23" s="215"/>
      <c r="V23" s="215"/>
      <c r="W23" s="464"/>
      <c r="X23" s="464"/>
      <c r="Y23" s="464"/>
      <c r="Z23" s="464"/>
      <c r="AA23" s="464"/>
      <c r="AB23" s="464"/>
      <c r="AC23" s="464"/>
      <c r="AD23" s="464"/>
      <c r="AE23" s="464"/>
      <c r="AF23" s="464"/>
    </row>
    <row r="24" spans="2:32" ht="48.75" customHeight="1">
      <c r="B24" s="548" t="s">
        <v>997</v>
      </c>
      <c r="C24" s="548"/>
      <c r="D24" s="548"/>
      <c r="E24" s="548"/>
      <c r="F24" s="548"/>
      <c r="G24" s="548"/>
      <c r="H24" s="548"/>
      <c r="I24" s="548"/>
      <c r="J24" s="548"/>
      <c r="K24" s="548"/>
      <c r="L24" s="548"/>
      <c r="M24" s="548"/>
      <c r="N24" s="464"/>
      <c r="O24" s="464"/>
      <c r="P24" s="464"/>
      <c r="Q24" s="545" t="s">
        <v>1072</v>
      </c>
      <c r="R24" s="545"/>
      <c r="S24" s="545"/>
      <c r="T24" s="545"/>
      <c r="U24" s="545"/>
      <c r="V24" s="545"/>
      <c r="W24" s="464"/>
      <c r="X24" s="464"/>
      <c r="Y24" s="464"/>
      <c r="Z24" s="464"/>
      <c r="AA24" s="464"/>
      <c r="AB24" s="464"/>
      <c r="AC24" s="464"/>
      <c r="AD24" s="464"/>
      <c r="AE24" s="464"/>
      <c r="AF24" s="464"/>
    </row>
    <row r="25" spans="2:32">
      <c r="B25" s="548" t="s">
        <v>998</v>
      </c>
      <c r="C25" s="548"/>
      <c r="D25" s="548"/>
      <c r="E25" s="548"/>
      <c r="F25" s="548"/>
      <c r="G25" s="548"/>
      <c r="H25" s="548"/>
      <c r="I25" s="548"/>
      <c r="J25" s="548"/>
      <c r="K25" s="548"/>
      <c r="L25" s="548"/>
      <c r="M25" s="548"/>
      <c r="N25" s="464"/>
      <c r="O25" s="464"/>
      <c r="P25" s="464"/>
      <c r="Q25" s="258"/>
      <c r="R25" s="464"/>
      <c r="S25" s="464"/>
      <c r="T25" s="464"/>
      <c r="U25" s="464"/>
      <c r="V25" s="464"/>
      <c r="W25" s="464"/>
      <c r="X25" s="464"/>
      <c r="Y25" s="464"/>
      <c r="Z25" s="464"/>
      <c r="AA25" s="464"/>
      <c r="AB25" s="464"/>
      <c r="AC25" s="464"/>
      <c r="AD25" s="464"/>
      <c r="AE25" s="464"/>
      <c r="AF25" s="464"/>
    </row>
    <row r="26" spans="2:32" ht="15" customHeight="1">
      <c r="B26" s="66" t="s">
        <v>39</v>
      </c>
    </row>
    <row r="27" spans="2:32" ht="16.5" customHeight="1">
      <c r="B27" s="62" t="s">
        <v>198</v>
      </c>
    </row>
    <row r="28" spans="2:32" ht="38.25" customHeight="1">
      <c r="B28" s="508" t="s">
        <v>554</v>
      </c>
      <c r="C28" s="508"/>
      <c r="D28" s="508"/>
      <c r="E28" s="508"/>
      <c r="F28" s="508"/>
      <c r="G28" s="508"/>
      <c r="H28" s="508"/>
      <c r="I28" s="508"/>
      <c r="J28" s="508"/>
      <c r="K28" s="508"/>
      <c r="L28" s="508"/>
    </row>
    <row r="29" spans="2:32" ht="15" customHeight="1">
      <c r="B29" s="61" t="s">
        <v>142</v>
      </c>
      <c r="C29" s="61"/>
      <c r="D29" s="61"/>
      <c r="E29" s="61"/>
      <c r="F29" s="61"/>
      <c r="G29" s="61"/>
      <c r="H29" s="61"/>
      <c r="I29" s="61"/>
      <c r="J29" s="61"/>
      <c r="K29" s="121"/>
    </row>
    <row r="30" spans="2:32">
      <c r="B30" s="546" t="s">
        <v>634</v>
      </c>
      <c r="C30" s="546"/>
      <c r="D30" s="546"/>
      <c r="E30" s="546"/>
      <c r="F30" s="546"/>
      <c r="G30" s="546"/>
      <c r="H30" s="546"/>
      <c r="I30" s="546"/>
      <c r="J30" s="546"/>
      <c r="K30" s="546"/>
      <c r="L30" s="546"/>
      <c r="M30" s="546"/>
      <c r="N30" s="195"/>
      <c r="O30" s="195"/>
      <c r="P30" s="195"/>
      <c r="Q30" s="195"/>
      <c r="R30" s="195"/>
      <c r="S30" s="195"/>
      <c r="T30" s="195"/>
      <c r="U30" s="195"/>
      <c r="V30" s="195"/>
      <c r="W30" s="195"/>
      <c r="X30" s="195"/>
      <c r="Y30" s="195"/>
      <c r="Z30" s="195"/>
      <c r="AA30" s="195"/>
      <c r="AB30" s="195"/>
      <c r="AC30" s="195"/>
      <c r="AD30" s="195"/>
      <c r="AE30" s="195"/>
      <c r="AF30" s="195"/>
    </row>
    <row r="31" spans="2:32" ht="18.75" customHeight="1">
      <c r="B31" s="142" t="s">
        <v>1087</v>
      </c>
      <c r="H31" s="142"/>
      <c r="I31" s="142"/>
      <c r="J31" s="142"/>
      <c r="K31" s="142"/>
      <c r="L31" s="142"/>
      <c r="M31" s="142"/>
      <c r="N31" s="142"/>
      <c r="O31" s="142"/>
      <c r="P31" s="142"/>
      <c r="Q31" s="142"/>
      <c r="R31" s="142"/>
      <c r="S31" s="142"/>
      <c r="T31" s="142"/>
      <c r="U31" s="142"/>
      <c r="V31" s="142"/>
      <c r="W31" s="142"/>
      <c r="X31" s="142"/>
      <c r="Y31" s="142"/>
      <c r="Z31" s="142"/>
      <c r="AA31" s="142"/>
      <c r="AB31" s="142"/>
      <c r="AC31" s="142"/>
      <c r="AD31" s="142"/>
      <c r="AE31" s="142"/>
      <c r="AF31" s="142"/>
    </row>
  </sheetData>
  <mergeCells count="19">
    <mergeCell ref="Q20:V20"/>
    <mergeCell ref="Q22:V22"/>
    <mergeCell ref="Q24:V24"/>
    <mergeCell ref="B30:M30"/>
    <mergeCell ref="C8:D8"/>
    <mergeCell ref="F8:G8"/>
    <mergeCell ref="I8:J8"/>
    <mergeCell ref="L8:M8"/>
    <mergeCell ref="B28:L28"/>
    <mergeCell ref="B24:M24"/>
    <mergeCell ref="B25:M25"/>
    <mergeCell ref="B22:M22"/>
    <mergeCell ref="B23:M23"/>
    <mergeCell ref="B5:M5"/>
    <mergeCell ref="H7:M7"/>
    <mergeCell ref="C7:G7"/>
    <mergeCell ref="M1:N1"/>
    <mergeCell ref="Q5:W5"/>
    <mergeCell ref="R7:V7"/>
  </mergeCells>
  <hyperlinks>
    <hyperlink ref="M1:N1" location="Contents!A1" display="Return to contents" xr:uid="{A8F76680-4969-4779-B52A-17623BA2E17B}"/>
  </hyperlink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M15"/>
  <sheetViews>
    <sheetView showGridLines="0" zoomScaleNormal="100" workbookViewId="0">
      <selection activeCell="K1" sqref="K1:L1"/>
    </sheetView>
  </sheetViews>
  <sheetFormatPr defaultRowHeight="15"/>
  <cols>
    <col min="2" max="2" width="13" customWidth="1"/>
    <col min="3" max="11" width="9.85546875" customWidth="1"/>
  </cols>
  <sheetData>
    <row r="1" spans="2:13" ht="16.5" thickTop="1" thickBot="1">
      <c r="K1" s="498" t="s">
        <v>3</v>
      </c>
      <c r="L1" s="499"/>
    </row>
    <row r="2" spans="2:13" ht="15.75" thickTop="1"/>
    <row r="5" spans="2:13" ht="15" customHeight="1"/>
    <row r="6" spans="2:13" ht="15.75">
      <c r="B6" s="503" t="s">
        <v>999</v>
      </c>
      <c r="C6" s="503"/>
      <c r="D6" s="503"/>
      <c r="E6" s="503"/>
      <c r="F6" s="503"/>
      <c r="G6" s="503"/>
      <c r="H6" s="503"/>
      <c r="I6" s="503"/>
      <c r="J6" s="503"/>
      <c r="K6" s="549"/>
      <c r="L6" s="549"/>
      <c r="M6" s="549"/>
    </row>
    <row r="7" spans="2:13" ht="15.75">
      <c r="B7" s="52"/>
      <c r="C7" s="52"/>
      <c r="D7" s="52"/>
      <c r="E7" s="52"/>
      <c r="F7" s="52"/>
      <c r="G7" s="52"/>
      <c r="H7" s="52"/>
      <c r="I7" s="52"/>
      <c r="J7" s="52"/>
      <c r="K7" s="246"/>
      <c r="L7" s="246"/>
      <c r="M7" s="246"/>
    </row>
    <row r="8" spans="2:13" ht="15" customHeight="1">
      <c r="B8" s="551" t="s">
        <v>555</v>
      </c>
      <c r="C8" s="551"/>
      <c r="D8" s="551"/>
      <c r="E8" s="551"/>
      <c r="F8" s="551"/>
      <c r="G8" s="551"/>
      <c r="H8" s="551"/>
      <c r="I8" s="551"/>
      <c r="J8" s="551"/>
      <c r="K8" s="551"/>
      <c r="L8" s="246"/>
      <c r="M8" s="246"/>
    </row>
    <row r="9" spans="2:13">
      <c r="B9" s="338"/>
      <c r="C9" s="71">
        <v>0</v>
      </c>
      <c r="D9" s="71" t="s">
        <v>51</v>
      </c>
      <c r="E9" s="71">
        <v>1</v>
      </c>
      <c r="F9" s="71" t="s">
        <v>51</v>
      </c>
      <c r="G9" s="71">
        <v>2</v>
      </c>
      <c r="H9" s="71" t="s">
        <v>51</v>
      </c>
      <c r="I9" s="71" t="s">
        <v>34</v>
      </c>
      <c r="J9" s="71" t="s">
        <v>51</v>
      </c>
      <c r="K9" s="71" t="s">
        <v>35</v>
      </c>
      <c r="L9" s="246"/>
      <c r="M9" s="246"/>
    </row>
    <row r="10" spans="2:13">
      <c r="B10" s="17" t="s">
        <v>4</v>
      </c>
      <c r="C10" s="108">
        <v>50.5</v>
      </c>
      <c r="D10" s="42" t="s">
        <v>624</v>
      </c>
      <c r="E10" s="108">
        <v>28.8</v>
      </c>
      <c r="F10" s="42" t="s">
        <v>626</v>
      </c>
      <c r="G10" s="108">
        <v>13.5</v>
      </c>
      <c r="H10" s="42" t="s">
        <v>628</v>
      </c>
      <c r="I10" s="108">
        <v>7.2</v>
      </c>
      <c r="J10" s="108" t="s">
        <v>631</v>
      </c>
      <c r="K10" s="108">
        <v>100</v>
      </c>
      <c r="L10" s="246"/>
      <c r="M10" s="246"/>
    </row>
    <row r="11" spans="2:13">
      <c r="B11" s="18" t="s">
        <v>5</v>
      </c>
      <c r="C11" s="109">
        <v>43.5</v>
      </c>
      <c r="D11" s="338" t="s">
        <v>625</v>
      </c>
      <c r="E11" s="109">
        <v>31</v>
      </c>
      <c r="F11" s="338" t="s">
        <v>627</v>
      </c>
      <c r="G11" s="109">
        <v>14.5</v>
      </c>
      <c r="H11" s="338" t="s">
        <v>629</v>
      </c>
      <c r="I11" s="109">
        <v>10.9</v>
      </c>
      <c r="J11" s="109" t="s">
        <v>630</v>
      </c>
      <c r="K11" s="109">
        <v>100</v>
      </c>
      <c r="L11" s="246"/>
      <c r="M11" s="246"/>
    </row>
    <row r="12" spans="2:13" ht="28.5" customHeight="1">
      <c r="B12" s="552" t="s">
        <v>1000</v>
      </c>
      <c r="C12" s="552"/>
      <c r="D12" s="552"/>
      <c r="E12" s="552"/>
      <c r="F12" s="552"/>
      <c r="G12" s="552"/>
      <c r="H12" s="552"/>
      <c r="I12" s="552"/>
      <c r="J12" s="552"/>
      <c r="K12" s="472"/>
      <c r="L12" s="472"/>
      <c r="M12" s="472"/>
    </row>
    <row r="13" spans="2:13" ht="45" customHeight="1">
      <c r="B13" s="550" t="s">
        <v>1001</v>
      </c>
      <c r="C13" s="550"/>
      <c r="D13" s="550"/>
      <c r="E13" s="550"/>
      <c r="F13" s="550"/>
      <c r="G13" s="550"/>
      <c r="H13" s="550"/>
      <c r="I13" s="550"/>
      <c r="J13" s="550"/>
      <c r="K13" s="550"/>
      <c r="L13" s="550"/>
    </row>
    <row r="15" spans="2:13">
      <c r="B15" s="471" t="s">
        <v>1088</v>
      </c>
    </row>
  </sheetData>
  <mergeCells count="5">
    <mergeCell ref="B6:M6"/>
    <mergeCell ref="B13:L13"/>
    <mergeCell ref="B8:K8"/>
    <mergeCell ref="B12:J12"/>
    <mergeCell ref="K1:L1"/>
  </mergeCells>
  <hyperlinks>
    <hyperlink ref="K1:L1" location="Contents!A1" display="Return to contents" xr:uid="{B0084C36-E4A1-4A47-AF2A-6969B6608CE9}"/>
  </hyperlink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U38"/>
  <sheetViews>
    <sheetView showGridLines="0" zoomScaleNormal="100" workbookViewId="0">
      <selection activeCell="L1" sqref="L1:M1"/>
    </sheetView>
  </sheetViews>
  <sheetFormatPr defaultRowHeight="15"/>
  <cols>
    <col min="2" max="2" width="19.42578125" customWidth="1"/>
    <col min="3" max="4" width="15.28515625" customWidth="1"/>
    <col min="5" max="5" width="3.7109375" customWidth="1"/>
    <col min="6" max="7" width="15.28515625" customWidth="1"/>
  </cols>
  <sheetData>
    <row r="1" spans="2:21" ht="16.5" thickTop="1" thickBot="1">
      <c r="K1" s="8"/>
      <c r="L1" s="510" t="s">
        <v>3</v>
      </c>
      <c r="M1" s="511"/>
    </row>
    <row r="2" spans="2:21" ht="15.75" thickTop="1">
      <c r="K2" s="527"/>
      <c r="L2" s="528"/>
    </row>
    <row r="3" spans="2:21">
      <c r="K3" s="8"/>
      <c r="L3" s="8"/>
    </row>
    <row r="4" spans="2:21">
      <c r="K4" s="8"/>
      <c r="L4" s="8"/>
    </row>
    <row r="6" spans="2:21" ht="15.75" customHeight="1">
      <c r="B6" s="503" t="s">
        <v>918</v>
      </c>
      <c r="C6" s="503"/>
      <c r="D6" s="503"/>
      <c r="E6" s="503"/>
      <c r="F6" s="503"/>
      <c r="G6" s="503"/>
      <c r="H6" s="24"/>
      <c r="I6" s="24"/>
      <c r="J6" s="24"/>
      <c r="K6" s="24"/>
      <c r="L6" s="24"/>
    </row>
    <row r="7" spans="2:21">
      <c r="B7" s="559"/>
      <c r="C7" s="559"/>
      <c r="D7" s="559"/>
      <c r="E7" s="559"/>
      <c r="F7" s="559"/>
      <c r="G7" s="559"/>
    </row>
    <row r="8" spans="2:21">
      <c r="B8" s="11"/>
      <c r="C8" s="555" t="s">
        <v>11</v>
      </c>
      <c r="D8" s="555"/>
      <c r="E8" s="12"/>
      <c r="F8" s="556" t="s">
        <v>12</v>
      </c>
      <c r="G8" s="556"/>
      <c r="H8" s="13"/>
      <c r="I8" s="13"/>
      <c r="J8" s="190"/>
      <c r="K8" s="13"/>
      <c r="L8" s="13"/>
      <c r="M8" s="13"/>
      <c r="N8" s="13"/>
      <c r="O8" s="13"/>
      <c r="P8" s="13"/>
      <c r="Q8" s="13"/>
      <c r="R8" s="13"/>
      <c r="S8" s="13"/>
      <c r="T8" s="13"/>
      <c r="U8" s="13"/>
    </row>
    <row r="9" spans="2:21">
      <c r="B9" s="241"/>
      <c r="C9" s="555" t="s">
        <v>548</v>
      </c>
      <c r="D9" s="555"/>
      <c r="E9" s="242"/>
      <c r="F9" s="555" t="s">
        <v>548</v>
      </c>
      <c r="G9" s="555"/>
      <c r="H9" s="13"/>
      <c r="I9" s="13"/>
      <c r="J9" s="190"/>
      <c r="K9" s="13"/>
      <c r="L9" s="13"/>
      <c r="M9" s="13"/>
      <c r="N9" s="13"/>
      <c r="O9" s="13"/>
      <c r="P9" s="13"/>
      <c r="Q9" s="13"/>
      <c r="R9" s="13"/>
      <c r="S9" s="13"/>
      <c r="T9" s="13"/>
      <c r="U9" s="13"/>
    </row>
    <row r="10" spans="2:21">
      <c r="B10" s="14" t="s">
        <v>15</v>
      </c>
      <c r="C10" s="239" t="s">
        <v>550</v>
      </c>
      <c r="D10" s="239" t="s">
        <v>551</v>
      </c>
      <c r="E10" s="10"/>
      <c r="F10" s="239" t="s">
        <v>550</v>
      </c>
      <c r="G10" s="239" t="s">
        <v>551</v>
      </c>
      <c r="H10" s="15"/>
      <c r="I10" s="15"/>
      <c r="J10" s="15"/>
      <c r="K10" s="15"/>
      <c r="M10" s="15"/>
      <c r="N10" s="15"/>
      <c r="O10" s="15"/>
      <c r="P10" s="15"/>
      <c r="Q10" s="15"/>
      <c r="R10" s="15"/>
      <c r="S10" s="15"/>
      <c r="T10" s="15"/>
      <c r="U10" s="15"/>
    </row>
    <row r="11" spans="2:21">
      <c r="B11" s="244" t="s">
        <v>16</v>
      </c>
      <c r="C11" s="189">
        <v>21.9</v>
      </c>
      <c r="D11" s="188">
        <v>2.4</v>
      </c>
      <c r="E11" s="107"/>
      <c r="F11" s="187">
        <v>21.8</v>
      </c>
      <c r="G11" s="188">
        <v>1.6</v>
      </c>
      <c r="I11" s="191"/>
      <c r="K11" s="15"/>
      <c r="M11" s="15"/>
      <c r="N11" s="15"/>
      <c r="O11" s="15"/>
      <c r="P11" s="15"/>
      <c r="Q11" s="15"/>
      <c r="R11" s="15"/>
      <c r="S11" s="15"/>
      <c r="T11" s="15"/>
      <c r="U11" s="15"/>
    </row>
    <row r="12" spans="2:21">
      <c r="B12" s="101" t="s">
        <v>17</v>
      </c>
      <c r="C12" s="189">
        <v>12.7</v>
      </c>
      <c r="D12" s="188">
        <v>2.2999999999999998</v>
      </c>
      <c r="E12" s="107"/>
      <c r="F12" s="188">
        <v>12.8</v>
      </c>
      <c r="G12" s="188">
        <v>1.3</v>
      </c>
      <c r="I12" s="191"/>
    </row>
    <row r="13" spans="2:21">
      <c r="B13" s="101" t="s">
        <v>18</v>
      </c>
      <c r="C13" s="189">
        <v>15.4</v>
      </c>
      <c r="D13" s="188">
        <v>1.8</v>
      </c>
      <c r="E13" s="107"/>
      <c r="F13" s="188">
        <v>13.8</v>
      </c>
      <c r="G13" s="188">
        <v>1.6</v>
      </c>
      <c r="I13" s="191"/>
    </row>
    <row r="14" spans="2:21">
      <c r="B14" s="101" t="s">
        <v>19</v>
      </c>
      <c r="C14" s="189">
        <v>26.4</v>
      </c>
      <c r="D14" s="188">
        <v>2.7</v>
      </c>
      <c r="E14" s="107"/>
      <c r="F14" s="188">
        <v>31.4</v>
      </c>
      <c r="G14" s="188">
        <v>2.6</v>
      </c>
      <c r="I14" s="191"/>
    </row>
    <row r="15" spans="2:21">
      <c r="B15" s="101" t="s">
        <v>20</v>
      </c>
      <c r="C15" s="189">
        <v>40.5</v>
      </c>
      <c r="D15" s="188">
        <v>3.5</v>
      </c>
      <c r="E15" s="107"/>
      <c r="F15" s="188">
        <v>41.5</v>
      </c>
      <c r="G15" s="188">
        <v>2.1</v>
      </c>
      <c r="I15" s="191"/>
    </row>
    <row r="16" spans="2:21">
      <c r="B16" s="101" t="s">
        <v>21</v>
      </c>
      <c r="C16" s="189">
        <v>59.2</v>
      </c>
      <c r="D16" s="188">
        <v>4.4000000000000004</v>
      </c>
      <c r="E16" s="107"/>
      <c r="F16" s="188">
        <v>67</v>
      </c>
      <c r="G16" s="188">
        <v>3.9</v>
      </c>
      <c r="I16" s="191"/>
    </row>
    <row r="17" spans="2:11">
      <c r="B17" s="101" t="s">
        <v>22</v>
      </c>
      <c r="C17" s="189">
        <v>82.3</v>
      </c>
      <c r="D17" s="188">
        <v>8.4</v>
      </c>
      <c r="E17" s="107"/>
      <c r="F17" s="188">
        <v>143.19999999999999</v>
      </c>
      <c r="G17" s="188">
        <v>10</v>
      </c>
      <c r="I17" s="191"/>
    </row>
    <row r="18" spans="2:11">
      <c r="B18" s="101" t="s">
        <v>23</v>
      </c>
      <c r="C18" s="189">
        <v>116.5</v>
      </c>
      <c r="D18" s="188">
        <v>14.7</v>
      </c>
      <c r="E18" s="107"/>
      <c r="F18" s="188">
        <v>203.7</v>
      </c>
      <c r="G18" s="188">
        <v>18.100000000000001</v>
      </c>
      <c r="I18" s="191"/>
    </row>
    <row r="19" spans="2:11">
      <c r="B19" s="101" t="s">
        <v>24</v>
      </c>
      <c r="C19" s="189">
        <v>187.8</v>
      </c>
      <c r="D19" s="188">
        <v>23.8</v>
      </c>
      <c r="E19" s="107"/>
      <c r="F19" s="188">
        <v>332.4</v>
      </c>
      <c r="G19" s="188">
        <v>30</v>
      </c>
      <c r="I19" s="191"/>
    </row>
    <row r="20" spans="2:11">
      <c r="B20" s="101" t="s">
        <v>25</v>
      </c>
      <c r="C20" s="189">
        <v>311.10000000000002</v>
      </c>
      <c r="D20" s="188">
        <v>52</v>
      </c>
      <c r="E20" s="107"/>
      <c r="F20" s="188">
        <v>486.6</v>
      </c>
      <c r="G20" s="188">
        <v>54.5</v>
      </c>
      <c r="I20" s="191"/>
    </row>
    <row r="21" spans="2:11">
      <c r="B21" s="101" t="s">
        <v>26</v>
      </c>
      <c r="C21" s="189">
        <v>572.29999999999995</v>
      </c>
      <c r="D21" s="188">
        <v>99.5</v>
      </c>
      <c r="E21" s="107"/>
      <c r="F21" s="188">
        <v>653.4</v>
      </c>
      <c r="G21" s="188">
        <v>92.3</v>
      </c>
      <c r="I21" s="191"/>
    </row>
    <row r="22" spans="2:11">
      <c r="B22" s="101" t="s">
        <v>27</v>
      </c>
      <c r="C22" s="189">
        <v>956.1</v>
      </c>
      <c r="D22" s="188">
        <v>183</v>
      </c>
      <c r="E22" s="107"/>
      <c r="F22" s="188">
        <v>806.9</v>
      </c>
      <c r="G22" s="188">
        <v>146.5</v>
      </c>
      <c r="I22" s="191"/>
    </row>
    <row r="23" spans="2:11">
      <c r="B23" s="101" t="s">
        <v>28</v>
      </c>
      <c r="C23" s="189">
        <v>1522.8</v>
      </c>
      <c r="D23" s="188">
        <v>319.60000000000002</v>
      </c>
      <c r="E23" s="107"/>
      <c r="F23" s="188">
        <v>1038.4000000000001</v>
      </c>
      <c r="G23" s="188">
        <v>220.6</v>
      </c>
      <c r="I23" s="191"/>
    </row>
    <row r="24" spans="2:11">
      <c r="B24" s="101" t="s">
        <v>29</v>
      </c>
      <c r="C24" s="189">
        <v>2157.6999999999998</v>
      </c>
      <c r="D24" s="188">
        <v>474</v>
      </c>
      <c r="E24" s="107"/>
      <c r="F24" s="188">
        <v>1377.8</v>
      </c>
      <c r="G24" s="188">
        <v>324.8</v>
      </c>
      <c r="I24" s="191"/>
    </row>
    <row r="25" spans="2:11">
      <c r="B25" s="101" t="s">
        <v>30</v>
      </c>
      <c r="C25" s="189">
        <v>2682.5</v>
      </c>
      <c r="D25" s="188">
        <v>727.6</v>
      </c>
      <c r="E25" s="107"/>
      <c r="F25" s="188">
        <v>1684.9</v>
      </c>
      <c r="G25" s="188">
        <v>496.2</v>
      </c>
      <c r="I25" s="191"/>
    </row>
    <row r="26" spans="2:11">
      <c r="B26" s="101" t="s">
        <v>31</v>
      </c>
      <c r="C26" s="189">
        <v>3142.1</v>
      </c>
      <c r="D26" s="188">
        <v>1102.7</v>
      </c>
      <c r="E26" s="107"/>
      <c r="F26" s="188">
        <v>1858.1</v>
      </c>
      <c r="G26" s="188">
        <v>719.8</v>
      </c>
      <c r="I26" s="191"/>
    </row>
    <row r="27" spans="2:11">
      <c r="B27" s="101" t="s">
        <v>32</v>
      </c>
      <c r="C27" s="189">
        <v>3576.1</v>
      </c>
      <c r="D27" s="188">
        <v>1718.4</v>
      </c>
      <c r="E27" s="107"/>
      <c r="F27" s="188">
        <v>2108.6999999999998</v>
      </c>
      <c r="G27" s="188">
        <v>1033.9000000000001</v>
      </c>
      <c r="I27" s="191"/>
    </row>
    <row r="28" spans="2:11">
      <c r="B28" s="101" t="s">
        <v>632</v>
      </c>
      <c r="C28" s="189">
        <v>3674.6</v>
      </c>
      <c r="D28" s="188">
        <v>2610</v>
      </c>
      <c r="E28" s="107"/>
      <c r="F28" s="188">
        <v>2337.1</v>
      </c>
      <c r="G28" s="188">
        <v>1471.9</v>
      </c>
      <c r="I28" s="191"/>
    </row>
    <row r="29" spans="2:11">
      <c r="B29" s="101" t="s">
        <v>633</v>
      </c>
      <c r="C29" s="189">
        <v>3567.2</v>
      </c>
      <c r="D29" s="188">
        <v>3538.8</v>
      </c>
      <c r="E29" s="107"/>
      <c r="F29" s="188">
        <v>2060.3000000000002</v>
      </c>
      <c r="G29" s="188">
        <v>1956.3</v>
      </c>
      <c r="I29" s="191"/>
    </row>
    <row r="30" spans="2:11">
      <c r="B30" s="16" t="s">
        <v>87</v>
      </c>
      <c r="C30" s="486">
        <v>693</v>
      </c>
      <c r="D30" s="487">
        <v>218.2</v>
      </c>
      <c r="E30" s="488"/>
      <c r="F30" s="489">
        <v>558.70000000000005</v>
      </c>
      <c r="G30" s="490">
        <v>167.8</v>
      </c>
      <c r="H30" s="16"/>
      <c r="I30" s="191"/>
    </row>
    <row r="31" spans="2:11" ht="14.25" customHeight="1">
      <c r="B31" s="557" t="s">
        <v>39</v>
      </c>
      <c r="C31" s="557"/>
      <c r="D31" s="557"/>
      <c r="E31" s="557"/>
      <c r="F31" s="557"/>
      <c r="G31" s="557"/>
      <c r="H31" s="557"/>
      <c r="I31" s="557"/>
      <c r="J31" s="557"/>
    </row>
    <row r="32" spans="2:11" ht="24" customHeight="1">
      <c r="B32" s="558" t="s">
        <v>88</v>
      </c>
      <c r="C32" s="558"/>
      <c r="D32" s="558"/>
      <c r="E32" s="558"/>
      <c r="F32" s="558"/>
      <c r="G32" s="558"/>
      <c r="H32" s="106"/>
      <c r="I32" s="106"/>
      <c r="J32" s="106"/>
      <c r="K32" s="67"/>
    </row>
    <row r="33" spans="2:11" ht="15" customHeight="1">
      <c r="B33" s="554" t="s">
        <v>89</v>
      </c>
      <c r="C33" s="554"/>
      <c r="D33" s="554"/>
      <c r="E33" s="554"/>
      <c r="F33" s="554"/>
      <c r="G33" s="554"/>
      <c r="H33" s="554"/>
      <c r="I33" s="554"/>
      <c r="J33" s="554"/>
    </row>
    <row r="34" spans="2:11" ht="24" customHeight="1">
      <c r="B34" s="558" t="s">
        <v>90</v>
      </c>
      <c r="C34" s="558"/>
      <c r="D34" s="558"/>
      <c r="E34" s="558"/>
      <c r="F34" s="558"/>
      <c r="G34" s="558"/>
      <c r="H34" s="106"/>
      <c r="I34" s="106"/>
      <c r="J34" s="106"/>
    </row>
    <row r="35" spans="2:11" ht="15" customHeight="1">
      <c r="B35" s="553" t="s">
        <v>471</v>
      </c>
      <c r="C35" s="553"/>
      <c r="D35" s="553"/>
      <c r="E35" s="553"/>
      <c r="F35" s="553"/>
      <c r="G35" s="553"/>
      <c r="H35" s="553"/>
      <c r="I35" s="553"/>
      <c r="J35" s="553"/>
    </row>
    <row r="36" spans="2:11">
      <c r="B36" s="554" t="s">
        <v>1075</v>
      </c>
      <c r="C36" s="554"/>
      <c r="D36" s="554"/>
      <c r="E36" s="554"/>
      <c r="F36" s="554"/>
      <c r="G36" s="554"/>
      <c r="H36" s="554"/>
      <c r="I36" s="554"/>
      <c r="J36" s="554"/>
    </row>
    <row r="37" spans="2:11">
      <c r="B37" s="35"/>
      <c r="C37" s="35"/>
      <c r="D37" s="35"/>
      <c r="E37" s="35"/>
      <c r="F37" s="35"/>
      <c r="G37" s="35"/>
      <c r="H37" s="35"/>
      <c r="I37" s="35"/>
      <c r="J37" s="35"/>
    </row>
    <row r="38" spans="2:11">
      <c r="B38" s="148"/>
      <c r="C38" s="35"/>
      <c r="D38" s="35"/>
      <c r="E38" s="35"/>
      <c r="F38" s="35"/>
      <c r="G38" s="35"/>
      <c r="H38" s="35"/>
      <c r="I38" s="35"/>
      <c r="J38" s="35"/>
      <c r="K38" s="56"/>
    </row>
  </sheetData>
  <mergeCells count="13">
    <mergeCell ref="L1:M1"/>
    <mergeCell ref="B35:J35"/>
    <mergeCell ref="B36:J36"/>
    <mergeCell ref="K2:L2"/>
    <mergeCell ref="C8:D8"/>
    <mergeCell ref="F8:G8"/>
    <mergeCell ref="B31:J31"/>
    <mergeCell ref="B33:J33"/>
    <mergeCell ref="B32:G32"/>
    <mergeCell ref="B34:G34"/>
    <mergeCell ref="B6:G7"/>
    <mergeCell ref="C9:D9"/>
    <mergeCell ref="F9:G9"/>
  </mergeCells>
  <hyperlinks>
    <hyperlink ref="L1:M1" location="Contents!A1" display="Return to contents" xr:uid="{00000000-0004-0000-0B00-000000000000}"/>
  </hyperlink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M36"/>
  <sheetViews>
    <sheetView showGridLines="0" zoomScaleNormal="100" workbookViewId="0">
      <selection activeCell="A7" sqref="A7"/>
    </sheetView>
  </sheetViews>
  <sheetFormatPr defaultRowHeight="15"/>
  <cols>
    <col min="2" max="2" width="23.7109375" bestFit="1" customWidth="1"/>
    <col min="4" max="4" width="10.5703125" bestFit="1" customWidth="1"/>
    <col min="8" max="8" width="6.7109375" customWidth="1"/>
    <col min="9" max="9" width="5" customWidth="1"/>
    <col min="10" max="10" width="15.42578125" bestFit="1" customWidth="1"/>
    <col min="13" max="13" width="13.42578125" customWidth="1"/>
    <col min="16" max="16" width="10.85546875" customWidth="1"/>
    <col min="20" max="20" width="7.28515625" customWidth="1"/>
    <col min="21" max="21" width="5.7109375" customWidth="1"/>
  </cols>
  <sheetData>
    <row r="1" spans="2:13" ht="16.5" thickTop="1" thickBot="1">
      <c r="J1" s="510" t="s">
        <v>3</v>
      </c>
      <c r="K1" s="511"/>
    </row>
    <row r="2" spans="2:13" ht="15.75" thickTop="1"/>
    <row r="5" spans="2:13" ht="15.75" customHeight="1">
      <c r="B5" s="503" t="s">
        <v>1096</v>
      </c>
      <c r="C5" s="503"/>
      <c r="D5" s="503"/>
      <c r="E5" s="503"/>
      <c r="F5" s="503"/>
      <c r="G5" s="503"/>
      <c r="H5" s="503"/>
      <c r="I5" s="503"/>
      <c r="J5" s="503"/>
      <c r="K5" s="503"/>
      <c r="L5" s="503"/>
    </row>
    <row r="6" spans="2:13">
      <c r="B6" s="503"/>
      <c r="C6" s="503"/>
      <c r="D6" s="503"/>
      <c r="E6" s="503"/>
      <c r="F6" s="503"/>
      <c r="G6" s="503"/>
      <c r="H6" s="503"/>
      <c r="I6" s="503"/>
      <c r="J6" s="503"/>
      <c r="K6" s="503"/>
      <c r="L6" s="503"/>
    </row>
    <row r="7" spans="2:13">
      <c r="B7" s="42"/>
      <c r="C7" s="561" t="s">
        <v>1099</v>
      </c>
      <c r="D7" s="561"/>
      <c r="E7" s="561"/>
      <c r="F7" s="561"/>
      <c r="G7" s="561"/>
      <c r="H7" s="42"/>
      <c r="I7" s="42"/>
      <c r="J7" s="367"/>
      <c r="K7" s="368" t="s">
        <v>11</v>
      </c>
      <c r="L7" s="368" t="s">
        <v>12</v>
      </c>
      <c r="M7" s="150"/>
    </row>
    <row r="8" spans="2:13" ht="23.25" customHeight="1">
      <c r="B8" s="42"/>
      <c r="C8" s="560" t="s">
        <v>548</v>
      </c>
      <c r="D8" s="560"/>
      <c r="E8" s="560"/>
      <c r="F8" s="560"/>
      <c r="G8" s="560"/>
      <c r="H8" s="42"/>
      <c r="I8" s="42"/>
      <c r="J8" s="142"/>
      <c r="K8" s="562" t="s">
        <v>548</v>
      </c>
      <c r="L8" s="562"/>
    </row>
    <row r="9" spans="2:13">
      <c r="B9" s="151" t="s">
        <v>40</v>
      </c>
      <c r="C9" s="152" t="s">
        <v>388</v>
      </c>
      <c r="D9" s="152" t="s">
        <v>1105</v>
      </c>
      <c r="E9" s="152" t="s">
        <v>389</v>
      </c>
      <c r="F9" s="152" t="s">
        <v>390</v>
      </c>
      <c r="G9" s="344" t="s">
        <v>391</v>
      </c>
      <c r="H9" s="42"/>
      <c r="I9" s="42"/>
      <c r="J9" s="151" t="s">
        <v>40</v>
      </c>
      <c r="K9" s="563" t="s">
        <v>1003</v>
      </c>
      <c r="L9" s="563"/>
    </row>
    <row r="10" spans="2:13">
      <c r="B10" s="131" t="s">
        <v>393</v>
      </c>
      <c r="C10" s="137">
        <v>2.4556680297</v>
      </c>
      <c r="D10" s="137">
        <v>1.3915452168</v>
      </c>
      <c r="E10" s="137">
        <v>4.09278005E-2</v>
      </c>
      <c r="F10" s="137">
        <v>0.53206140639999999</v>
      </c>
      <c r="G10" s="137">
        <v>0.3683502045</v>
      </c>
      <c r="H10" s="42"/>
      <c r="I10" s="65"/>
      <c r="J10" s="131" t="s">
        <v>393</v>
      </c>
      <c r="K10" s="137">
        <v>0</v>
      </c>
      <c r="L10" s="137">
        <v>0</v>
      </c>
    </row>
    <row r="11" spans="2:13">
      <c r="B11" s="131" t="s">
        <v>19</v>
      </c>
      <c r="C11" s="125">
        <v>489.08707246</v>
      </c>
      <c r="D11" s="125">
        <v>109.18176664000001</v>
      </c>
      <c r="E11" s="125">
        <v>15.353685934</v>
      </c>
      <c r="F11" s="125">
        <v>3.6743863774999999</v>
      </c>
      <c r="G11" s="125">
        <v>8.9235097738999993</v>
      </c>
      <c r="H11" s="42"/>
      <c r="I11" s="65"/>
      <c r="J11" s="131" t="s">
        <v>19</v>
      </c>
      <c r="K11" s="125">
        <v>0</v>
      </c>
      <c r="L11" s="125">
        <v>0.3</v>
      </c>
    </row>
    <row r="12" spans="2:13">
      <c r="B12" s="131" t="s">
        <v>20</v>
      </c>
      <c r="C12" s="125">
        <v>1369.4735459000001</v>
      </c>
      <c r="D12" s="125">
        <v>314.05669505999998</v>
      </c>
      <c r="E12" s="125">
        <v>45.155355927000002</v>
      </c>
      <c r="F12" s="125">
        <v>12.065319969999999</v>
      </c>
      <c r="G12" s="125">
        <v>58.893096487000001</v>
      </c>
      <c r="H12" s="42"/>
      <c r="I12" s="65"/>
      <c r="J12" s="131" t="s">
        <v>723</v>
      </c>
      <c r="K12" s="125">
        <v>7.1</v>
      </c>
      <c r="L12" s="125">
        <v>0.8</v>
      </c>
    </row>
    <row r="13" spans="2:13">
      <c r="B13" s="131" t="s">
        <v>21</v>
      </c>
      <c r="C13" s="143">
        <v>1060.5250579000001</v>
      </c>
      <c r="D13" s="143">
        <v>438.03822463</v>
      </c>
      <c r="E13" s="143">
        <v>85.473528794000003</v>
      </c>
      <c r="F13" s="143">
        <v>22.103345662999999</v>
      </c>
      <c r="G13" s="143">
        <v>74.149647271999996</v>
      </c>
      <c r="H13" s="42"/>
      <c r="I13" s="65"/>
      <c r="J13" s="131" t="s">
        <v>394</v>
      </c>
      <c r="K13" s="143">
        <v>7.7</v>
      </c>
      <c r="L13" s="143">
        <v>1.5</v>
      </c>
    </row>
    <row r="14" spans="2:13">
      <c r="B14" s="131" t="s">
        <v>394</v>
      </c>
      <c r="C14" s="137">
        <v>580.96974911999996</v>
      </c>
      <c r="D14" s="137">
        <v>343.00599538</v>
      </c>
      <c r="E14" s="137">
        <v>92.681183150999999</v>
      </c>
      <c r="F14" s="137">
        <v>36.548064717999999</v>
      </c>
      <c r="G14" s="137">
        <v>67.745021864999998</v>
      </c>
      <c r="H14" s="42"/>
      <c r="I14" s="42"/>
      <c r="J14" s="131" t="s">
        <v>724</v>
      </c>
      <c r="K14" s="87">
        <v>6.4</v>
      </c>
      <c r="L14" s="87">
        <v>0.4</v>
      </c>
    </row>
    <row r="15" spans="2:13">
      <c r="B15" s="365" t="s">
        <v>395</v>
      </c>
      <c r="C15" s="473">
        <v>109.17362507999999</v>
      </c>
      <c r="D15" s="473">
        <v>75.541459287999999</v>
      </c>
      <c r="E15" s="473">
        <v>28.463184011999999</v>
      </c>
      <c r="F15" s="473">
        <v>25.55774327</v>
      </c>
      <c r="G15" s="473">
        <v>45.101899887999998</v>
      </c>
      <c r="H15" s="42"/>
      <c r="I15" s="42"/>
      <c r="J15" s="365" t="s">
        <v>725</v>
      </c>
      <c r="K15" s="364">
        <v>2.7</v>
      </c>
      <c r="L15" s="364">
        <v>0.3</v>
      </c>
    </row>
    <row r="16" spans="2:13">
      <c r="B16" s="131"/>
      <c r="C16" s="125"/>
      <c r="D16" s="125"/>
      <c r="E16" s="125"/>
      <c r="F16" s="125"/>
      <c r="G16" s="125"/>
      <c r="H16" s="42"/>
      <c r="I16" s="42"/>
      <c r="J16" s="131"/>
      <c r="K16" s="137"/>
      <c r="L16" s="137"/>
    </row>
    <row r="17" spans="2:12">
      <c r="B17" s="65"/>
      <c r="C17" s="561" t="s">
        <v>1100</v>
      </c>
      <c r="D17" s="561"/>
      <c r="E17" s="561"/>
      <c r="F17" s="561"/>
      <c r="G17" s="561"/>
      <c r="H17" s="42"/>
      <c r="I17" s="42"/>
      <c r="J17" s="42"/>
      <c r="K17" s="42"/>
      <c r="L17" s="42"/>
    </row>
    <row r="18" spans="2:12" ht="15" customHeight="1">
      <c r="B18" s="65"/>
      <c r="C18" s="560" t="s">
        <v>548</v>
      </c>
      <c r="D18" s="560"/>
      <c r="E18" s="560"/>
      <c r="F18" s="560"/>
      <c r="G18" s="560"/>
      <c r="H18" s="42"/>
      <c r="I18" s="42"/>
      <c r="J18" s="42"/>
      <c r="K18" s="42"/>
      <c r="L18" s="42"/>
    </row>
    <row r="19" spans="2:12">
      <c r="B19" s="151" t="s">
        <v>40</v>
      </c>
      <c r="C19" s="152" t="s">
        <v>388</v>
      </c>
      <c r="D19" s="152" t="s">
        <v>1105</v>
      </c>
      <c r="E19" s="152" t="s">
        <v>389</v>
      </c>
      <c r="F19" s="152" t="s">
        <v>390</v>
      </c>
      <c r="G19" s="344" t="s">
        <v>391</v>
      </c>
      <c r="H19" s="42"/>
      <c r="I19" s="42"/>
      <c r="J19" s="42"/>
      <c r="K19" s="42"/>
      <c r="L19" s="42"/>
    </row>
    <row r="20" spans="2:12">
      <c r="B20" s="131" t="s">
        <v>393</v>
      </c>
      <c r="C20" s="137">
        <v>10.401777317000001</v>
      </c>
      <c r="D20" s="137">
        <v>4.9841849643999998</v>
      </c>
      <c r="E20" s="137">
        <v>0.47674812700000002</v>
      </c>
      <c r="F20" s="137">
        <v>0.34672591060000002</v>
      </c>
      <c r="G20" s="137">
        <v>0.78013329880000004</v>
      </c>
      <c r="H20" s="42"/>
      <c r="I20" s="42"/>
      <c r="J20" s="42"/>
      <c r="K20" s="42"/>
      <c r="L20" s="42"/>
    </row>
    <row r="21" spans="2:12">
      <c r="B21" s="131" t="s">
        <v>19</v>
      </c>
      <c r="C21" s="137">
        <v>1380.2954291999999</v>
      </c>
      <c r="D21" s="137">
        <v>160.95317725999999</v>
      </c>
      <c r="E21" s="137">
        <v>18.812709030000001</v>
      </c>
      <c r="F21" s="137">
        <v>3.0657748049000002</v>
      </c>
      <c r="G21" s="137">
        <v>6.5496098104999998</v>
      </c>
      <c r="H21" s="42"/>
      <c r="I21" s="42"/>
      <c r="J21" s="42"/>
      <c r="K21" s="42"/>
      <c r="L21" s="42"/>
    </row>
    <row r="22" spans="2:12">
      <c r="B22" s="131" t="s">
        <v>20</v>
      </c>
      <c r="C22" s="125">
        <v>2158.0263368999999</v>
      </c>
      <c r="D22" s="125">
        <v>252.45652279000001</v>
      </c>
      <c r="E22" s="125">
        <v>25.945153979000001</v>
      </c>
      <c r="F22" s="125">
        <v>11.700755716</v>
      </c>
      <c r="G22" s="125">
        <v>19.458865485</v>
      </c>
      <c r="H22" s="42"/>
      <c r="I22" s="42"/>
      <c r="J22" s="42"/>
      <c r="K22" s="42"/>
      <c r="L22" s="42"/>
    </row>
    <row r="23" spans="2:12">
      <c r="B23" s="131" t="s">
        <v>21</v>
      </c>
      <c r="C23" s="125">
        <v>974.63751275000004</v>
      </c>
      <c r="D23" s="125">
        <v>188.46459454999999</v>
      </c>
      <c r="E23" s="125">
        <v>23.571907597999999</v>
      </c>
      <c r="F23" s="125">
        <v>22.022580338000001</v>
      </c>
      <c r="G23" s="125">
        <v>27.002560816999999</v>
      </c>
      <c r="H23" s="42"/>
      <c r="I23" s="42"/>
      <c r="J23" s="42"/>
      <c r="K23" s="42"/>
      <c r="L23" s="42"/>
    </row>
    <row r="24" spans="2:12">
      <c r="B24" s="131" t="s">
        <v>394</v>
      </c>
      <c r="C24" s="143">
        <v>340.89562145999997</v>
      </c>
      <c r="D24" s="143">
        <v>106.25660153</v>
      </c>
      <c r="E24" s="143">
        <v>16.278279560000001</v>
      </c>
      <c r="F24" s="143">
        <v>33.399447381000002</v>
      </c>
      <c r="G24" s="143">
        <v>30.080574850000001</v>
      </c>
      <c r="H24" s="42"/>
      <c r="I24" s="42"/>
      <c r="J24" s="42"/>
      <c r="K24" s="42"/>
      <c r="L24" s="42"/>
    </row>
    <row r="25" spans="2:12">
      <c r="B25" s="131" t="s">
        <v>395</v>
      </c>
      <c r="C25" s="137">
        <v>36.724532177</v>
      </c>
      <c r="D25" s="137">
        <v>17.706188566000002</v>
      </c>
      <c r="E25" s="137">
        <v>2.7665919633999998</v>
      </c>
      <c r="F25" s="137">
        <v>19.160625484000001</v>
      </c>
      <c r="G25" s="137">
        <v>21.658462798999999</v>
      </c>
      <c r="H25" s="42"/>
      <c r="I25" s="42"/>
      <c r="J25" s="42"/>
      <c r="K25" s="42"/>
      <c r="L25" s="42"/>
    </row>
    <row r="26" spans="2:12" ht="15.75" customHeight="1">
      <c r="B26" s="345" t="s">
        <v>726</v>
      </c>
      <c r="C26" s="345"/>
      <c r="D26" s="345"/>
      <c r="E26" s="345"/>
      <c r="F26" s="345"/>
      <c r="G26" s="345"/>
      <c r="H26" s="42"/>
      <c r="I26" s="42"/>
      <c r="J26" s="42"/>
      <c r="K26" s="42"/>
      <c r="L26" s="42"/>
    </row>
    <row r="27" spans="2:12" ht="15.75" customHeight="1">
      <c r="B27" s="42" t="s">
        <v>1094</v>
      </c>
      <c r="C27" s="42"/>
      <c r="D27" s="42"/>
      <c r="E27" s="42"/>
      <c r="F27" s="42"/>
      <c r="G27" s="42"/>
      <c r="H27" s="42"/>
      <c r="I27" s="42"/>
      <c r="J27" s="42"/>
      <c r="K27" s="42"/>
      <c r="L27" s="42"/>
    </row>
    <row r="28" spans="2:12" ht="15.75" customHeight="1">
      <c r="B28" s="42" t="s">
        <v>1104</v>
      </c>
      <c r="C28" s="42"/>
      <c r="D28" s="42"/>
      <c r="E28" s="42"/>
      <c r="F28" s="42"/>
      <c r="G28" s="42"/>
      <c r="H28" s="42"/>
      <c r="I28" s="42"/>
      <c r="J28" s="42"/>
      <c r="K28" s="42"/>
      <c r="L28" s="42"/>
    </row>
    <row r="29" spans="2:12" ht="13.5" customHeight="1">
      <c r="B29" s="103" t="s">
        <v>634</v>
      </c>
      <c r="C29" s="99"/>
      <c r="D29" s="99"/>
      <c r="E29" s="99"/>
      <c r="F29" s="99"/>
      <c r="G29" s="99"/>
      <c r="H29" s="42"/>
      <c r="I29" s="42"/>
      <c r="J29" s="42"/>
      <c r="K29" s="42"/>
      <c r="L29" s="42"/>
    </row>
    <row r="30" spans="2:12">
      <c r="B30" s="42" t="s">
        <v>1089</v>
      </c>
      <c r="C30" s="42"/>
      <c r="D30" s="42"/>
      <c r="E30" s="42"/>
      <c r="F30" s="42"/>
      <c r="G30" s="42"/>
      <c r="H30" s="42"/>
      <c r="I30" s="42"/>
      <c r="J30" s="42"/>
      <c r="K30" s="42"/>
      <c r="L30" s="42"/>
    </row>
    <row r="31" spans="2:12">
      <c r="B31" s="42" t="s">
        <v>1090</v>
      </c>
      <c r="C31" s="42"/>
      <c r="D31" s="42"/>
      <c r="E31" s="42"/>
      <c r="F31" s="42"/>
      <c r="G31" s="42"/>
      <c r="H31" s="42"/>
      <c r="I31" s="42"/>
      <c r="J31" s="42"/>
      <c r="K31" s="42"/>
      <c r="L31" s="42"/>
    </row>
    <row r="32" spans="2:12">
      <c r="B32" s="149"/>
      <c r="C32" s="149"/>
      <c r="D32" s="149"/>
    </row>
    <row r="33" spans="2:4">
      <c r="B33" s="149"/>
      <c r="C33" s="149"/>
      <c r="D33" s="149"/>
    </row>
    <row r="34" spans="2:4">
      <c r="B34" s="149"/>
      <c r="C34" s="149"/>
      <c r="D34" s="149"/>
    </row>
    <row r="35" spans="2:4">
      <c r="B35" s="149"/>
      <c r="C35" s="149"/>
      <c r="D35" s="149"/>
    </row>
    <row r="36" spans="2:4">
      <c r="B36" s="149"/>
      <c r="C36" s="149"/>
      <c r="D36" s="149"/>
    </row>
  </sheetData>
  <mergeCells count="8">
    <mergeCell ref="C18:G18"/>
    <mergeCell ref="C7:G7"/>
    <mergeCell ref="C17:G17"/>
    <mergeCell ref="J1:K1"/>
    <mergeCell ref="K8:L8"/>
    <mergeCell ref="K9:L9"/>
    <mergeCell ref="C8:G8"/>
    <mergeCell ref="B5:L6"/>
  </mergeCells>
  <phoneticPr fontId="72" type="noConversion"/>
  <hyperlinks>
    <hyperlink ref="J1:K1" location="Contents!A1" display="Return to contents" xr:uid="{00000000-0004-0000-0C00-000000000000}"/>
  </hyperlink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8"/>
  <sheetViews>
    <sheetView showGridLines="0" topLeftCell="A3" zoomScaleNormal="100" workbookViewId="0">
      <selection activeCell="A6" sqref="A6"/>
    </sheetView>
  </sheetViews>
  <sheetFormatPr defaultRowHeight="15"/>
  <cols>
    <col min="1" max="1" width="9.140625" customWidth="1"/>
    <col min="2" max="2" width="13.28515625" bestFit="1" customWidth="1"/>
    <col min="3" max="8" width="10.42578125" customWidth="1"/>
    <col min="10" max="10" width="14.28515625" customWidth="1"/>
    <col min="12" max="12" width="10.28515625" customWidth="1"/>
  </cols>
  <sheetData>
    <row r="1" spans="2:16" ht="16.5" thickTop="1" thickBot="1">
      <c r="K1" s="510" t="s">
        <v>3</v>
      </c>
      <c r="L1" s="511"/>
    </row>
    <row r="2" spans="2:16" ht="15.75" thickTop="1"/>
    <row r="5" spans="2:16" ht="15.75" customHeight="1">
      <c r="B5" s="85" t="s">
        <v>1095</v>
      </c>
      <c r="C5" s="85"/>
      <c r="D5" s="85"/>
      <c r="E5" s="85"/>
    </row>
    <row r="7" spans="2:16">
      <c r="B7" s="91"/>
      <c r="C7" s="564" t="s">
        <v>1099</v>
      </c>
      <c r="D7" s="564"/>
      <c r="E7" s="564"/>
      <c r="F7" s="564"/>
      <c r="G7" s="564"/>
      <c r="H7" s="564"/>
      <c r="I7" s="150"/>
      <c r="J7" s="91"/>
      <c r="K7" s="564" t="s">
        <v>1101</v>
      </c>
      <c r="L7" s="564"/>
      <c r="M7" s="564"/>
      <c r="N7" s="564"/>
      <c r="O7" s="564"/>
      <c r="P7" s="564"/>
    </row>
    <row r="8" spans="2:16" ht="15" customHeight="1">
      <c r="C8" s="565" t="s">
        <v>1106</v>
      </c>
      <c r="D8" s="565"/>
      <c r="E8" s="565"/>
      <c r="F8" s="565"/>
      <c r="G8" s="565"/>
      <c r="H8" s="565"/>
      <c r="I8" s="92"/>
      <c r="K8" s="565" t="s">
        <v>1106</v>
      </c>
      <c r="L8" s="565"/>
      <c r="M8" s="565"/>
      <c r="N8" s="565"/>
      <c r="O8" s="565"/>
      <c r="P8" s="565"/>
    </row>
    <row r="9" spans="2:16">
      <c r="B9" s="96" t="s">
        <v>396</v>
      </c>
      <c r="C9" s="20" t="s">
        <v>388</v>
      </c>
      <c r="D9" s="20" t="s">
        <v>1105</v>
      </c>
      <c r="E9" s="20" t="s">
        <v>389</v>
      </c>
      <c r="F9" s="20" t="s">
        <v>390</v>
      </c>
      <c r="G9" s="20" t="s">
        <v>391</v>
      </c>
      <c r="H9" s="20" t="s">
        <v>392</v>
      </c>
      <c r="I9" s="72"/>
      <c r="J9" s="96" t="s">
        <v>396</v>
      </c>
      <c r="K9" s="20" t="s">
        <v>388</v>
      </c>
      <c r="L9" s="20" t="s">
        <v>1105</v>
      </c>
      <c r="M9" s="20" t="s">
        <v>389</v>
      </c>
      <c r="N9" s="20" t="s">
        <v>390</v>
      </c>
      <c r="O9" s="20" t="s">
        <v>391</v>
      </c>
      <c r="P9" s="20" t="s">
        <v>392</v>
      </c>
    </row>
    <row r="10" spans="2:16">
      <c r="B10" s="82">
        <v>2012</v>
      </c>
      <c r="C10" s="95">
        <v>303.36302368999998</v>
      </c>
      <c r="D10" s="95">
        <v>84.727172601999996</v>
      </c>
      <c r="E10" s="95">
        <v>12.067457955</v>
      </c>
      <c r="F10" s="95">
        <v>32.038591713000002</v>
      </c>
      <c r="G10" s="95">
        <v>56.545619182000003</v>
      </c>
      <c r="H10" s="95">
        <v>8.6</v>
      </c>
      <c r="J10" s="82">
        <v>2012</v>
      </c>
      <c r="K10" s="95">
        <v>309.82997492999999</v>
      </c>
      <c r="L10" s="95">
        <v>85.424007239999995</v>
      </c>
      <c r="M10" s="95">
        <v>12.136502684</v>
      </c>
      <c r="N10" s="95">
        <v>32.104717952999998</v>
      </c>
      <c r="O10" s="95">
        <v>56.793175343000001</v>
      </c>
      <c r="P10" s="95">
        <v>8.503507343202882</v>
      </c>
    </row>
    <row r="11" spans="2:16">
      <c r="B11" s="82">
        <v>2013</v>
      </c>
      <c r="C11" s="95">
        <v>302.67879978000002</v>
      </c>
      <c r="D11" s="95">
        <v>91.479903340999996</v>
      </c>
      <c r="E11" s="95">
        <v>13.876481627</v>
      </c>
      <c r="F11" s="95">
        <v>35.156080144999997</v>
      </c>
      <c r="G11" s="95">
        <v>59.292330550000003</v>
      </c>
      <c r="H11" s="95">
        <v>8.1999999999999993</v>
      </c>
      <c r="J11" s="82">
        <v>2013</v>
      </c>
      <c r="K11" s="95">
        <v>308.13915844000002</v>
      </c>
      <c r="L11" s="95">
        <v>92.011543376999995</v>
      </c>
      <c r="M11" s="95">
        <v>13.905588872999999</v>
      </c>
      <c r="N11" s="95">
        <v>35.146375878000001</v>
      </c>
      <c r="O11" s="95">
        <v>59.689740239000002</v>
      </c>
      <c r="P11" s="95">
        <v>8.065241546596976</v>
      </c>
    </row>
    <row r="12" spans="2:16">
      <c r="B12" s="82">
        <v>2014</v>
      </c>
      <c r="C12" s="95">
        <v>312.84425829999998</v>
      </c>
      <c r="D12" s="95">
        <v>97.417852449999998</v>
      </c>
      <c r="E12" s="95">
        <v>16.214367330000002</v>
      </c>
      <c r="F12" s="95">
        <v>29.709058724999998</v>
      </c>
      <c r="G12" s="95">
        <v>57.747852389000002</v>
      </c>
      <c r="H12" s="95">
        <v>8.4</v>
      </c>
      <c r="J12" s="82">
        <v>2014</v>
      </c>
      <c r="K12" s="95">
        <v>317.40968329999998</v>
      </c>
      <c r="L12" s="95">
        <v>97.978331292999997</v>
      </c>
      <c r="M12" s="95">
        <v>16.258300774999999</v>
      </c>
      <c r="N12" s="95">
        <v>29.774031046000001</v>
      </c>
      <c r="O12" s="95">
        <v>58.142494706999997</v>
      </c>
      <c r="P12" s="95">
        <v>8.3476989747757226</v>
      </c>
    </row>
    <row r="13" spans="2:16">
      <c r="B13" s="82">
        <v>2015</v>
      </c>
      <c r="C13" s="95">
        <v>314.39377483999999</v>
      </c>
      <c r="D13" s="95">
        <v>115.21653001999999</v>
      </c>
      <c r="E13" s="95">
        <v>20.920962056</v>
      </c>
      <c r="F13" s="95">
        <v>28.117069037</v>
      </c>
      <c r="G13" s="95">
        <v>57.421968288999999</v>
      </c>
      <c r="H13" s="95">
        <v>7.9</v>
      </c>
      <c r="J13" s="82">
        <v>2015</v>
      </c>
      <c r="K13" s="95">
        <v>318.03438247999998</v>
      </c>
      <c r="L13" s="95">
        <v>115.74571183</v>
      </c>
      <c r="M13" s="95">
        <v>21.035451500000001</v>
      </c>
      <c r="N13" s="95">
        <v>28.247364735000001</v>
      </c>
      <c r="O13" s="95">
        <v>57.923584495</v>
      </c>
      <c r="P13" s="95">
        <v>7.7699276238428387</v>
      </c>
    </row>
    <row r="14" spans="2:16">
      <c r="B14" s="82">
        <v>2016</v>
      </c>
      <c r="C14" s="95">
        <v>358.16892712999999</v>
      </c>
      <c r="D14" s="95">
        <v>143.76649239</v>
      </c>
      <c r="E14" s="95">
        <v>24.492103963999998</v>
      </c>
      <c r="F14" s="95">
        <v>28.387758761000001</v>
      </c>
      <c r="G14" s="95">
        <v>62.179281811000003</v>
      </c>
      <c r="H14" s="95">
        <v>7.7</v>
      </c>
      <c r="J14" s="82">
        <v>2016</v>
      </c>
      <c r="K14" s="95">
        <v>361.57509777000001</v>
      </c>
      <c r="L14" s="95">
        <v>144.14682815</v>
      </c>
      <c r="M14" s="95">
        <v>24.602102851000001</v>
      </c>
      <c r="N14" s="95">
        <v>28.451128085000001</v>
      </c>
      <c r="O14" s="95">
        <v>62.842418490999997</v>
      </c>
      <c r="P14" s="95">
        <v>7.5980757873068647</v>
      </c>
    </row>
    <row r="15" spans="2:16">
      <c r="B15" s="82">
        <v>2017</v>
      </c>
      <c r="C15" s="95">
        <v>393.12045850999999</v>
      </c>
      <c r="D15" s="95">
        <v>171.30955129</v>
      </c>
      <c r="E15" s="95">
        <v>30.387444265999999</v>
      </c>
      <c r="F15" s="95">
        <v>25.973379742999999</v>
      </c>
      <c r="G15" s="95">
        <v>56.998174241999997</v>
      </c>
      <c r="H15" s="95">
        <v>7.1</v>
      </c>
      <c r="J15" s="82">
        <v>2017</v>
      </c>
      <c r="K15" s="95">
        <v>396.79730348999999</v>
      </c>
      <c r="L15" s="95">
        <v>172.00613296</v>
      </c>
      <c r="M15" s="95">
        <v>30.595984207000001</v>
      </c>
      <c r="N15" s="95">
        <v>26.16308987</v>
      </c>
      <c r="O15" s="95">
        <v>57.791504181999997</v>
      </c>
      <c r="P15" s="95">
        <v>6.9484184809577281</v>
      </c>
    </row>
    <row r="16" spans="2:16">
      <c r="B16" s="82">
        <v>2018</v>
      </c>
      <c r="C16" s="95">
        <v>404.49659428000001</v>
      </c>
      <c r="D16" s="95">
        <v>181.65676346000001</v>
      </c>
      <c r="E16" s="95">
        <v>34.430450479999998</v>
      </c>
      <c r="F16" s="95">
        <v>25.543607518999998</v>
      </c>
      <c r="G16" s="95">
        <v>62.891912845999997</v>
      </c>
      <c r="H16" s="95">
        <v>6.2</v>
      </c>
      <c r="J16" s="82">
        <v>2018</v>
      </c>
      <c r="K16" s="95">
        <v>408.30282729999999</v>
      </c>
      <c r="L16" s="95">
        <v>182.56006639</v>
      </c>
      <c r="M16" s="95">
        <v>34.757590219999997</v>
      </c>
      <c r="N16" s="95">
        <v>25.832144484000001</v>
      </c>
      <c r="O16" s="95">
        <v>64.019494593999994</v>
      </c>
      <c r="P16" s="95">
        <v>6.1009375914434516</v>
      </c>
    </row>
    <row r="17" spans="2:16">
      <c r="B17" s="82">
        <v>2019</v>
      </c>
      <c r="C17" s="95">
        <v>413.50080713</v>
      </c>
      <c r="D17" s="95">
        <v>198.99865919000001</v>
      </c>
      <c r="E17" s="95">
        <v>38.730045075</v>
      </c>
      <c r="F17" s="95">
        <v>24.544876396999999</v>
      </c>
      <c r="G17" s="95">
        <v>49.805334361</v>
      </c>
      <c r="H17" s="95">
        <v>6.4</v>
      </c>
      <c r="J17" s="82">
        <v>2019</v>
      </c>
      <c r="K17" s="95">
        <v>417.19272856999999</v>
      </c>
      <c r="L17" s="95">
        <v>200.19368299999999</v>
      </c>
      <c r="M17" s="95">
        <v>39.064120963999997</v>
      </c>
      <c r="N17" s="95">
        <v>24.818515598000001</v>
      </c>
      <c r="O17" s="95">
        <v>50.742019558999999</v>
      </c>
      <c r="P17" s="95">
        <v>6.3198974697992378</v>
      </c>
    </row>
    <row r="18" spans="2:16">
      <c r="B18" s="82">
        <v>2020</v>
      </c>
      <c r="C18" s="95">
        <v>339.01998680000003</v>
      </c>
      <c r="D18" s="95">
        <v>162.91732586000001</v>
      </c>
      <c r="E18" s="95">
        <v>34.063304008999999</v>
      </c>
      <c r="F18" s="95">
        <v>20.329725878000001</v>
      </c>
      <c r="G18" s="95">
        <v>42.853831864999997</v>
      </c>
      <c r="H18" s="95">
        <v>4.5</v>
      </c>
      <c r="J18" s="82">
        <v>2020</v>
      </c>
      <c r="K18" s="95">
        <v>338.34567862</v>
      </c>
      <c r="L18" s="95">
        <v>163.06165999000001</v>
      </c>
      <c r="M18" s="95">
        <v>34.357709948</v>
      </c>
      <c r="N18" s="95">
        <v>20.721453782000001</v>
      </c>
      <c r="O18" s="95">
        <v>43.760128514000002</v>
      </c>
      <c r="P18" s="95">
        <v>4.2966774900522484</v>
      </c>
    </row>
    <row r="19" spans="2:16">
      <c r="B19" s="82">
        <v>2021</v>
      </c>
      <c r="C19" s="95">
        <v>339.14234711</v>
      </c>
      <c r="D19" s="95">
        <v>145.69682419</v>
      </c>
      <c r="E19" s="95">
        <v>36.751791314999998</v>
      </c>
      <c r="F19" s="95">
        <v>19.412458421</v>
      </c>
      <c r="G19" s="95">
        <v>39.875033932000001</v>
      </c>
      <c r="H19" s="95">
        <v>3.9</v>
      </c>
      <c r="J19" s="82">
        <v>2021</v>
      </c>
      <c r="K19" s="95">
        <v>331.86186026000001</v>
      </c>
      <c r="L19" s="95">
        <v>144.31845687000001</v>
      </c>
      <c r="M19" s="95">
        <v>36.848266869</v>
      </c>
      <c r="N19" s="95">
        <v>19.930065158000001</v>
      </c>
      <c r="O19" s="95">
        <v>40.683686727999998</v>
      </c>
      <c r="P19" s="95">
        <v>3.8118896760693803</v>
      </c>
    </row>
    <row r="20" spans="2:16">
      <c r="B20" s="492" t="s">
        <v>397</v>
      </c>
      <c r="C20" s="362">
        <f>C19/C10</f>
        <v>1.1179422692482197</v>
      </c>
      <c r="D20" s="362">
        <f t="shared" ref="D20:E20" si="0">D19/D10</f>
        <v>1.7195997425100056</v>
      </c>
      <c r="E20" s="362">
        <f t="shared" si="0"/>
        <v>3.0455288472558841</v>
      </c>
      <c r="F20" s="362">
        <v>32.1</v>
      </c>
      <c r="G20" s="362">
        <v>34.9</v>
      </c>
      <c r="H20" s="362">
        <f>H19/H10</f>
        <v>0.45348837209302328</v>
      </c>
      <c r="I20" s="93"/>
      <c r="J20" s="492" t="s">
        <v>397</v>
      </c>
      <c r="K20" s="362">
        <f t="shared" ref="K20:M20" si="1">K19/K10</f>
        <v>1.0711095991760569</v>
      </c>
      <c r="L20" s="362">
        <f t="shared" si="1"/>
        <v>1.6894367465639395</v>
      </c>
      <c r="M20" s="362">
        <f t="shared" si="1"/>
        <v>3.0361519976902764</v>
      </c>
      <c r="N20" s="362">
        <v>32.1</v>
      </c>
      <c r="O20" s="362">
        <v>34.9</v>
      </c>
      <c r="P20" s="362">
        <f>P19/P10</f>
        <v>0.44827263883253332</v>
      </c>
    </row>
    <row r="21" spans="2:16">
      <c r="B21" s="493"/>
      <c r="C21" s="95"/>
      <c r="D21" s="95"/>
      <c r="E21" s="95"/>
      <c r="F21" s="95"/>
      <c r="G21" s="95"/>
      <c r="H21" s="95"/>
      <c r="I21" s="93"/>
      <c r="J21" s="493"/>
      <c r="K21" s="95"/>
      <c r="L21" s="95"/>
      <c r="M21" s="95"/>
      <c r="N21" s="95"/>
      <c r="O21" s="95"/>
      <c r="P21" s="95"/>
    </row>
    <row r="22" spans="2:16">
      <c r="B22" s="65"/>
      <c r="C22" s="564" t="s">
        <v>1100</v>
      </c>
      <c r="D22" s="564"/>
      <c r="E22" s="564"/>
      <c r="F22" s="564"/>
      <c r="G22" s="564"/>
      <c r="H22" s="564"/>
      <c r="I22" s="150"/>
      <c r="J22" s="65"/>
      <c r="K22" s="564" t="s">
        <v>1102</v>
      </c>
      <c r="L22" s="564"/>
      <c r="M22" s="564"/>
      <c r="N22" s="564"/>
      <c r="O22" s="564"/>
      <c r="P22" s="564"/>
    </row>
    <row r="23" spans="2:16" ht="15" customHeight="1">
      <c r="C23" s="565" t="s">
        <v>548</v>
      </c>
      <c r="D23" s="565"/>
      <c r="E23" s="565"/>
      <c r="F23" s="565"/>
      <c r="G23" s="565"/>
      <c r="H23" s="565"/>
      <c r="I23" s="92"/>
      <c r="K23" s="565" t="s">
        <v>548</v>
      </c>
      <c r="L23" s="565"/>
      <c r="M23" s="565"/>
      <c r="N23" s="565"/>
      <c r="O23" s="565"/>
      <c r="P23" s="565"/>
    </row>
    <row r="24" spans="2:16">
      <c r="B24" s="96" t="s">
        <v>396</v>
      </c>
      <c r="C24" s="20" t="s">
        <v>388</v>
      </c>
      <c r="D24" s="20" t="s">
        <v>1105</v>
      </c>
      <c r="E24" s="20" t="s">
        <v>389</v>
      </c>
      <c r="F24" s="20" t="s">
        <v>390</v>
      </c>
      <c r="G24" s="20" t="s">
        <v>391</v>
      </c>
      <c r="H24" s="20" t="s">
        <v>392</v>
      </c>
      <c r="I24" s="72"/>
      <c r="J24" s="96" t="s">
        <v>396</v>
      </c>
      <c r="K24" s="20" t="s">
        <v>388</v>
      </c>
      <c r="L24" s="20" t="s">
        <v>1105</v>
      </c>
      <c r="M24" s="20" t="s">
        <v>389</v>
      </c>
      <c r="N24" s="20" t="s">
        <v>390</v>
      </c>
      <c r="O24" s="20" t="s">
        <v>391</v>
      </c>
      <c r="P24" s="20" t="s">
        <v>392</v>
      </c>
    </row>
    <row r="25" spans="2:16">
      <c r="B25" s="82">
        <v>2012</v>
      </c>
      <c r="C25" s="95">
        <v>433.48878681000002</v>
      </c>
      <c r="D25" s="95">
        <v>38.687103178000001</v>
      </c>
      <c r="E25" s="95">
        <v>1.3440896959999999</v>
      </c>
      <c r="F25" s="95">
        <v>24.833943162000001</v>
      </c>
      <c r="G25" s="95">
        <v>30.109519103</v>
      </c>
      <c r="H25" s="95">
        <v>0.9</v>
      </c>
      <c r="J25" s="82">
        <v>2012</v>
      </c>
      <c r="K25" s="95">
        <v>420.50749853999997</v>
      </c>
      <c r="L25" s="95">
        <v>37.310145996000003</v>
      </c>
      <c r="M25" s="95">
        <v>1.3309416079</v>
      </c>
      <c r="N25" s="95">
        <v>24.867593200000002</v>
      </c>
      <c r="O25" s="95">
        <v>30.445289281000001</v>
      </c>
      <c r="P25" s="95">
        <v>0.91940045283536975</v>
      </c>
    </row>
    <row r="26" spans="2:16">
      <c r="B26" s="82">
        <v>2013</v>
      </c>
      <c r="C26" s="95">
        <v>430.36251453</v>
      </c>
      <c r="D26" s="95">
        <v>39.22908855</v>
      </c>
      <c r="E26" s="95">
        <v>1.2864975125</v>
      </c>
      <c r="F26" s="95">
        <v>24.77489439</v>
      </c>
      <c r="G26" s="95">
        <v>30.837432534000001</v>
      </c>
      <c r="H26" s="95">
        <v>0.9</v>
      </c>
      <c r="J26" s="82">
        <v>2013</v>
      </c>
      <c r="K26" s="95">
        <v>415.88495713999998</v>
      </c>
      <c r="L26" s="95">
        <v>37.850745365000002</v>
      </c>
      <c r="M26" s="95">
        <v>1.2820552533</v>
      </c>
      <c r="N26" s="95">
        <v>24.815082889999999</v>
      </c>
      <c r="O26" s="95">
        <v>31.122106383999999</v>
      </c>
      <c r="P26" s="95">
        <v>0.91206615336271912</v>
      </c>
    </row>
    <row r="27" spans="2:16">
      <c r="B27" s="82">
        <v>2014</v>
      </c>
      <c r="C27" s="95">
        <v>436.90813869999999</v>
      </c>
      <c r="D27" s="95">
        <v>37.000573258000003</v>
      </c>
      <c r="E27" s="95">
        <v>1.4240561995000001</v>
      </c>
      <c r="F27" s="95">
        <v>25.176345174000001</v>
      </c>
      <c r="G27" s="95">
        <v>29.655196825000001</v>
      </c>
      <c r="H27" s="95">
        <v>0.9</v>
      </c>
      <c r="J27" s="82">
        <v>2014</v>
      </c>
      <c r="K27" s="95">
        <v>421.0691238</v>
      </c>
      <c r="L27" s="95">
        <v>35.569708159000001</v>
      </c>
      <c r="M27" s="95">
        <v>1.3804434356999999</v>
      </c>
      <c r="N27" s="95">
        <v>25.246023815000001</v>
      </c>
      <c r="O27" s="95">
        <v>30.132624197999998</v>
      </c>
      <c r="P27" s="95">
        <v>0.87230474770914135</v>
      </c>
    </row>
    <row r="28" spans="2:16">
      <c r="B28" s="82">
        <v>2015</v>
      </c>
      <c r="C28" s="95">
        <v>423.01144109000001</v>
      </c>
      <c r="D28" s="95">
        <v>41.107557976000002</v>
      </c>
      <c r="E28" s="95">
        <v>2.4687150397000002</v>
      </c>
      <c r="F28" s="95">
        <v>24.116516184999998</v>
      </c>
      <c r="G28" s="95">
        <v>28.484889303999999</v>
      </c>
      <c r="H28" s="95">
        <v>0.9</v>
      </c>
      <c r="J28" s="82">
        <v>2015</v>
      </c>
      <c r="K28" s="95">
        <v>406.42814441000002</v>
      </c>
      <c r="L28" s="95">
        <v>39.538408269000001</v>
      </c>
      <c r="M28" s="95">
        <v>2.4023336670000002</v>
      </c>
      <c r="N28" s="95">
        <v>24.256896887</v>
      </c>
      <c r="O28" s="95">
        <v>28.994832729999999</v>
      </c>
      <c r="P28" s="95">
        <v>0.90087512511111845</v>
      </c>
    </row>
    <row r="29" spans="2:16">
      <c r="B29" s="82">
        <v>2016</v>
      </c>
      <c r="C29" s="95">
        <v>436.24964807999999</v>
      </c>
      <c r="D29" s="95">
        <v>55.142006189999996</v>
      </c>
      <c r="E29" s="95">
        <v>3.5106717178000002</v>
      </c>
      <c r="F29" s="95">
        <v>23.46128087</v>
      </c>
      <c r="G29" s="95">
        <v>30.218223006999999</v>
      </c>
      <c r="H29" s="95">
        <v>0.7</v>
      </c>
      <c r="J29" s="82">
        <v>2016</v>
      </c>
      <c r="K29" s="95">
        <v>419.05606460000001</v>
      </c>
      <c r="L29" s="95">
        <v>53.249674184</v>
      </c>
      <c r="M29" s="95">
        <v>3.3968205104</v>
      </c>
      <c r="N29" s="95">
        <v>23.621850844000001</v>
      </c>
      <c r="O29" s="95">
        <v>30.924194452999998</v>
      </c>
      <c r="P29" s="95">
        <v>0.72202948046368731</v>
      </c>
    </row>
    <row r="30" spans="2:16">
      <c r="B30" s="82">
        <v>2017</v>
      </c>
      <c r="C30" s="95">
        <v>442.31034524</v>
      </c>
      <c r="D30" s="95">
        <v>61.013083190000003</v>
      </c>
      <c r="E30" s="95">
        <v>5.3818454051</v>
      </c>
      <c r="F30" s="95">
        <v>21.861038752999999</v>
      </c>
      <c r="G30" s="95">
        <v>25.369624836</v>
      </c>
      <c r="H30" s="95">
        <v>0.9</v>
      </c>
      <c r="J30" s="82">
        <v>2017</v>
      </c>
      <c r="K30" s="95">
        <v>423.97949440999997</v>
      </c>
      <c r="L30" s="95">
        <v>58.829767846000003</v>
      </c>
      <c r="M30" s="95">
        <v>5.2865273617000001</v>
      </c>
      <c r="N30" s="95">
        <v>22.187272850999999</v>
      </c>
      <c r="O30" s="95">
        <v>26.061369238000001</v>
      </c>
      <c r="P30" s="95">
        <v>0.85552961883895584</v>
      </c>
    </row>
    <row r="31" spans="2:16">
      <c r="B31" s="82">
        <v>2018</v>
      </c>
      <c r="C31" s="95">
        <v>447.87535817999998</v>
      </c>
      <c r="D31" s="95">
        <v>66.384426740999999</v>
      </c>
      <c r="E31" s="95">
        <v>5.9258578472999996</v>
      </c>
      <c r="F31" s="95">
        <v>21.101333777000001</v>
      </c>
      <c r="G31" s="95">
        <v>27.700695946</v>
      </c>
      <c r="H31" s="95">
        <v>0.7</v>
      </c>
      <c r="J31" s="82">
        <v>2018</v>
      </c>
      <c r="K31" s="95">
        <v>428.83140936000001</v>
      </c>
      <c r="L31" s="95">
        <v>64.341411066000006</v>
      </c>
      <c r="M31" s="95">
        <v>5.8607860531</v>
      </c>
      <c r="N31" s="95">
        <v>21.518707000999999</v>
      </c>
      <c r="O31" s="95">
        <v>28.675704894999999</v>
      </c>
      <c r="P31" s="95">
        <v>0.64412981044691076</v>
      </c>
    </row>
    <row r="32" spans="2:16">
      <c r="B32" s="82">
        <v>2019</v>
      </c>
      <c r="C32" s="95">
        <v>447.80568155999998</v>
      </c>
      <c r="D32" s="95">
        <v>76.166567559000001</v>
      </c>
      <c r="E32" s="95">
        <v>7.8008973992000001</v>
      </c>
      <c r="F32" s="95">
        <v>20.246633975000002</v>
      </c>
      <c r="G32" s="95">
        <v>21.690410811</v>
      </c>
      <c r="H32" s="95">
        <v>0.8</v>
      </c>
      <c r="J32" s="82">
        <v>2019</v>
      </c>
      <c r="K32" s="95">
        <v>426.24739840000001</v>
      </c>
      <c r="L32" s="95">
        <v>73.811414069999998</v>
      </c>
      <c r="M32" s="95">
        <v>7.6013453283999999</v>
      </c>
      <c r="N32" s="95">
        <v>20.727379787</v>
      </c>
      <c r="O32" s="95">
        <v>22.451396253999999</v>
      </c>
      <c r="P32" s="95">
        <v>0.74446165587549906</v>
      </c>
    </row>
    <row r="33" spans="1:16">
      <c r="B33" s="82">
        <v>2020</v>
      </c>
      <c r="C33" s="95">
        <v>398.11594307000001</v>
      </c>
      <c r="D33" s="95">
        <v>72.251047942</v>
      </c>
      <c r="E33" s="95">
        <v>7.7124737995999997</v>
      </c>
      <c r="F33" s="95">
        <v>18.111938945999999</v>
      </c>
      <c r="G33" s="95">
        <v>18.657229885</v>
      </c>
      <c r="H33" s="95">
        <v>0.6</v>
      </c>
      <c r="J33" s="82">
        <v>2020</v>
      </c>
      <c r="K33" s="95">
        <v>371.44894024000001</v>
      </c>
      <c r="L33" s="95">
        <v>69.062515426000004</v>
      </c>
      <c r="M33" s="95">
        <v>7.427740848</v>
      </c>
      <c r="N33" s="95">
        <v>18.724096720999999</v>
      </c>
      <c r="O33" s="95">
        <v>19.327600664999999</v>
      </c>
      <c r="P33" s="95">
        <v>0.60350394389827333</v>
      </c>
    </row>
    <row r="34" spans="1:16">
      <c r="B34" s="82">
        <v>2021</v>
      </c>
      <c r="C34" s="95">
        <v>381.59588989000002</v>
      </c>
      <c r="D34" s="95">
        <v>66.696913745000003</v>
      </c>
      <c r="E34" s="95">
        <v>8.5367613679000005</v>
      </c>
      <c r="F34" s="95">
        <v>16.052144037000001</v>
      </c>
      <c r="G34" s="95">
        <v>17.840956965</v>
      </c>
      <c r="H34" s="95">
        <v>0.5</v>
      </c>
      <c r="J34" s="82">
        <v>2021</v>
      </c>
      <c r="K34" s="95">
        <v>345.58882689000001</v>
      </c>
      <c r="L34" s="95">
        <v>62.565226856999999</v>
      </c>
      <c r="M34" s="95">
        <v>8.0921300209999991</v>
      </c>
      <c r="N34" s="95">
        <v>16.748467770000001</v>
      </c>
      <c r="O34" s="95">
        <v>18.572481796000002</v>
      </c>
      <c r="P34" s="95">
        <v>0.49464787138722527</v>
      </c>
    </row>
    <row r="35" spans="1:16">
      <c r="B35" s="97" t="s">
        <v>397</v>
      </c>
      <c r="C35" s="98">
        <v>-8.9</v>
      </c>
      <c r="D35" s="98">
        <f>D34/D25</f>
        <v>1.7240089917853607</v>
      </c>
      <c r="E35" s="98">
        <f>E34/E25</f>
        <v>6.3513330942907551</v>
      </c>
      <c r="F35" s="98">
        <v>24.1</v>
      </c>
      <c r="G35" s="98">
        <v>-47.2</v>
      </c>
      <c r="H35" s="98">
        <f t="shared" ref="H35" si="2">H34/H25</f>
        <v>0.55555555555555558</v>
      </c>
      <c r="I35" s="94"/>
      <c r="J35" s="97" t="s">
        <v>397</v>
      </c>
      <c r="K35" s="98">
        <v>-8.9</v>
      </c>
      <c r="L35" s="98">
        <f>L34/L25</f>
        <v>1.6768957930024604</v>
      </c>
      <c r="M35" s="98">
        <f>M34/M25</f>
        <v>6.0800037905254216</v>
      </c>
      <c r="N35" s="98">
        <v>24.1</v>
      </c>
      <c r="O35" s="98">
        <v>-47.2</v>
      </c>
      <c r="P35" s="98">
        <f t="shared" ref="P35" si="3">P34/P25</f>
        <v>0.5380113419150101</v>
      </c>
    </row>
    <row r="36" spans="1:16">
      <c r="B36" s="476" t="s">
        <v>1093</v>
      </c>
      <c r="C36" s="95"/>
      <c r="D36" s="95"/>
      <c r="E36" s="95"/>
      <c r="F36" s="95"/>
      <c r="G36" s="95"/>
      <c r="H36" s="95"/>
      <c r="I36" s="94"/>
      <c r="J36" s="94"/>
      <c r="K36" s="94"/>
      <c r="L36" s="94"/>
      <c r="M36" s="94"/>
      <c r="N36" s="94"/>
    </row>
    <row r="37" spans="1:16">
      <c r="B37" s="42" t="s">
        <v>1094</v>
      </c>
      <c r="C37" s="95"/>
      <c r="D37" s="95"/>
      <c r="E37" s="95"/>
      <c r="F37" s="95"/>
      <c r="G37" s="95"/>
      <c r="H37" s="95"/>
      <c r="I37" s="94"/>
      <c r="J37" s="94"/>
      <c r="K37" s="94"/>
      <c r="L37" s="94"/>
      <c r="M37" s="94"/>
      <c r="N37" s="94"/>
    </row>
    <row r="38" spans="1:16">
      <c r="B38" s="42" t="s">
        <v>1103</v>
      </c>
      <c r="C38" s="95"/>
      <c r="D38" s="95"/>
      <c r="E38" s="95"/>
      <c r="F38" s="95"/>
      <c r="G38" s="95"/>
      <c r="H38" s="95"/>
      <c r="I38" s="94"/>
      <c r="J38" s="94"/>
      <c r="K38" s="94"/>
      <c r="L38" s="94"/>
      <c r="M38" s="94"/>
      <c r="N38" s="94"/>
    </row>
    <row r="39" spans="1:16">
      <c r="B39" s="475" t="s">
        <v>634</v>
      </c>
    </row>
    <row r="40" spans="1:16">
      <c r="B40" s="42" t="s">
        <v>1090</v>
      </c>
    </row>
    <row r="41" spans="1:16">
      <c r="B41" s="42" t="s">
        <v>1089</v>
      </c>
    </row>
    <row r="42" spans="1:16">
      <c r="A42" t="s">
        <v>1092</v>
      </c>
    </row>
    <row r="43" spans="1:16">
      <c r="B43" s="149"/>
    </row>
    <row r="44" spans="1:16">
      <c r="B44" s="149"/>
    </row>
    <row r="45" spans="1:16">
      <c r="B45" s="149"/>
    </row>
    <row r="46" spans="1:16">
      <c r="B46" s="149"/>
    </row>
    <row r="47" spans="1:16">
      <c r="B47" s="149"/>
    </row>
    <row r="48" spans="1:16">
      <c r="B48" s="149"/>
    </row>
  </sheetData>
  <mergeCells count="9">
    <mergeCell ref="K7:P7"/>
    <mergeCell ref="K8:P8"/>
    <mergeCell ref="K22:P22"/>
    <mergeCell ref="C23:H23"/>
    <mergeCell ref="K1:L1"/>
    <mergeCell ref="C7:H7"/>
    <mergeCell ref="C22:H22"/>
    <mergeCell ref="C8:H8"/>
    <mergeCell ref="K23:P23"/>
  </mergeCells>
  <hyperlinks>
    <hyperlink ref="K1:L1" location="Contents!A1" display="Return to contents" xr:uid="{00000000-0004-0000-0D00-000000000000}"/>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L36"/>
  <sheetViews>
    <sheetView showGridLines="0" workbookViewId="0"/>
  </sheetViews>
  <sheetFormatPr defaultRowHeight="15"/>
  <cols>
    <col min="1" max="1" width="9.140625" customWidth="1"/>
    <col min="2" max="2" width="5.7109375" style="19" customWidth="1"/>
    <col min="3" max="3" width="31.42578125" customWidth="1"/>
    <col min="4" max="4" width="7.7109375" bestFit="1" customWidth="1"/>
    <col min="5" max="5" width="11.7109375" customWidth="1"/>
    <col min="6" max="6" width="7.7109375" customWidth="1"/>
    <col min="7" max="7" width="6.140625" customWidth="1"/>
    <col min="8" max="8" width="6.42578125" customWidth="1"/>
    <col min="9" max="9" width="39.28515625" customWidth="1"/>
    <col min="10" max="10" width="11.7109375" customWidth="1"/>
    <col min="11" max="11" width="7.7109375" customWidth="1"/>
  </cols>
  <sheetData>
    <row r="1" spans="2:12" ht="16.5" thickTop="1" thickBot="1">
      <c r="J1" s="510" t="s">
        <v>3</v>
      </c>
      <c r="K1" s="511"/>
      <c r="L1" s="8"/>
    </row>
    <row r="2" spans="2:12" ht="15.75" thickTop="1">
      <c r="K2" s="527"/>
      <c r="L2" s="528"/>
    </row>
    <row r="3" spans="2:12">
      <c r="K3" s="8"/>
      <c r="L3" s="8"/>
    </row>
    <row r="4" spans="2:12">
      <c r="K4" s="8"/>
      <c r="L4" s="8"/>
    </row>
    <row r="5" spans="2:12" ht="15.75">
      <c r="B5" s="503" t="s">
        <v>623</v>
      </c>
      <c r="C5" s="503"/>
      <c r="D5" s="503"/>
      <c r="E5" s="503"/>
      <c r="F5" s="542"/>
      <c r="G5" s="542"/>
      <c r="H5" s="542"/>
      <c r="I5" s="542"/>
      <c r="J5" s="542"/>
      <c r="K5" s="542"/>
    </row>
    <row r="6" spans="2:12" ht="15" customHeight="1">
      <c r="B6" s="567" t="s">
        <v>11</v>
      </c>
      <c r="C6" s="567"/>
      <c r="D6" s="567"/>
      <c r="E6" s="567"/>
      <c r="F6" s="327"/>
      <c r="G6" s="328"/>
      <c r="H6" s="567" t="s">
        <v>12</v>
      </c>
      <c r="I6" s="567"/>
      <c r="J6" s="567"/>
      <c r="K6" s="567"/>
      <c r="L6" s="327"/>
    </row>
    <row r="7" spans="2:12">
      <c r="B7" s="169" t="s">
        <v>36</v>
      </c>
      <c r="C7" s="329" t="s">
        <v>37</v>
      </c>
      <c r="D7" s="330" t="s">
        <v>614</v>
      </c>
      <c r="E7" s="331" t="s">
        <v>595</v>
      </c>
      <c r="F7" s="332" t="s">
        <v>615</v>
      </c>
      <c r="G7" s="333"/>
      <c r="H7" s="169" t="s">
        <v>36</v>
      </c>
      <c r="I7" s="329" t="s">
        <v>37</v>
      </c>
      <c r="J7" s="330" t="s">
        <v>614</v>
      </c>
      <c r="K7" s="331" t="s">
        <v>595</v>
      </c>
      <c r="L7" s="332" t="s">
        <v>615</v>
      </c>
    </row>
    <row r="8" spans="2:12" ht="22.5" customHeight="1">
      <c r="B8" s="163">
        <v>1</v>
      </c>
      <c r="C8" s="163" t="s">
        <v>605</v>
      </c>
      <c r="D8" s="164">
        <v>10371</v>
      </c>
      <c r="E8" s="334">
        <v>11.600541380999999</v>
      </c>
      <c r="F8" s="334">
        <v>68.635877211999997</v>
      </c>
      <c r="G8" s="165"/>
      <c r="H8" s="163">
        <v>1</v>
      </c>
      <c r="I8" s="163" t="s">
        <v>608</v>
      </c>
      <c r="J8" s="167">
        <v>10276</v>
      </c>
      <c r="K8" s="334">
        <v>12.521323779999999</v>
      </c>
      <c r="L8" s="334">
        <v>47.578936401</v>
      </c>
    </row>
    <row r="9" spans="2:12" ht="22.5" customHeight="1">
      <c r="B9" s="163">
        <v>2</v>
      </c>
      <c r="C9" s="163" t="s">
        <v>608</v>
      </c>
      <c r="D9" s="164">
        <v>5664</v>
      </c>
      <c r="E9" s="334">
        <v>6.3354996028999997</v>
      </c>
      <c r="F9" s="334">
        <v>37.321286321000002</v>
      </c>
      <c r="G9" s="165"/>
      <c r="H9" s="163">
        <v>2</v>
      </c>
      <c r="I9" s="166" t="s">
        <v>605</v>
      </c>
      <c r="J9" s="167">
        <v>6960</v>
      </c>
      <c r="K9" s="334">
        <v>8.4807720427</v>
      </c>
      <c r="L9" s="334">
        <v>33.795537549000002</v>
      </c>
    </row>
    <row r="10" spans="2:12" ht="22.5" customHeight="1">
      <c r="B10" s="163">
        <v>3</v>
      </c>
      <c r="C10" s="163" t="s">
        <v>606</v>
      </c>
      <c r="D10" s="164">
        <v>4968</v>
      </c>
      <c r="E10" s="334">
        <v>5.5569848212000004</v>
      </c>
      <c r="F10" s="334">
        <v>32.193921601</v>
      </c>
      <c r="G10" s="165"/>
      <c r="H10" s="163">
        <v>3</v>
      </c>
      <c r="I10" s="166" t="s">
        <v>609</v>
      </c>
      <c r="J10" s="167">
        <v>5620</v>
      </c>
      <c r="K10" s="334">
        <v>6.8479797241</v>
      </c>
      <c r="L10" s="334">
        <v>27.556467113</v>
      </c>
    </row>
    <row r="11" spans="2:12" ht="22.5" customHeight="1">
      <c r="B11" s="163">
        <v>4</v>
      </c>
      <c r="C11" s="163" t="s">
        <v>609</v>
      </c>
      <c r="D11" s="164">
        <v>4180</v>
      </c>
      <c r="E11" s="334">
        <v>4.6755629132000003</v>
      </c>
      <c r="F11" s="334">
        <v>27.611835598999999</v>
      </c>
      <c r="G11" s="165"/>
      <c r="H11" s="163">
        <v>4</v>
      </c>
      <c r="I11" s="166" t="s">
        <v>606</v>
      </c>
      <c r="J11" s="167">
        <v>3706</v>
      </c>
      <c r="K11" s="334">
        <v>4.5157674123999998</v>
      </c>
      <c r="L11" s="334">
        <v>21.006015832999999</v>
      </c>
    </row>
    <row r="12" spans="2:12" ht="22.5" customHeight="1">
      <c r="B12" s="163">
        <v>5</v>
      </c>
      <c r="C12" s="163" t="s">
        <v>607</v>
      </c>
      <c r="D12" s="164">
        <v>3713</v>
      </c>
      <c r="E12" s="334">
        <v>4.1531973915</v>
      </c>
      <c r="F12" s="334">
        <v>24.199696034999999</v>
      </c>
      <c r="G12" s="165"/>
      <c r="H12" s="163">
        <v>5</v>
      </c>
      <c r="I12" s="166" t="s">
        <v>607</v>
      </c>
      <c r="J12" s="167">
        <v>3305</v>
      </c>
      <c r="K12" s="334">
        <v>4.0271482185999998</v>
      </c>
      <c r="L12" s="334">
        <v>17.639465118</v>
      </c>
    </row>
    <row r="13" spans="2:12" ht="22.5" customHeight="1">
      <c r="B13" s="163">
        <v>6</v>
      </c>
      <c r="C13" s="163" t="s">
        <v>616</v>
      </c>
      <c r="D13" s="164">
        <v>3620</v>
      </c>
      <c r="E13" s="334">
        <v>4.0491717095000004</v>
      </c>
      <c r="F13" s="334">
        <v>23.598062592000002</v>
      </c>
      <c r="G13" s="165"/>
      <c r="H13" s="163">
        <v>6</v>
      </c>
      <c r="I13" s="166" t="s">
        <v>604</v>
      </c>
      <c r="J13" s="167">
        <v>3129</v>
      </c>
      <c r="K13" s="334">
        <v>3.8126919140000002</v>
      </c>
      <c r="L13" s="334">
        <v>18.361244744</v>
      </c>
    </row>
    <row r="14" spans="2:12" ht="22.5" customHeight="1">
      <c r="B14" s="163">
        <v>7</v>
      </c>
      <c r="C14" s="163" t="s">
        <v>617</v>
      </c>
      <c r="D14" s="164">
        <v>2953</v>
      </c>
      <c r="E14" s="334">
        <v>3.3030950437</v>
      </c>
      <c r="F14" s="334">
        <v>19.417943750999999</v>
      </c>
      <c r="G14" s="165"/>
      <c r="H14" s="163">
        <v>7</v>
      </c>
      <c r="I14" s="166" t="s">
        <v>618</v>
      </c>
      <c r="J14" s="167">
        <v>2512</v>
      </c>
      <c r="K14" s="334">
        <v>3.0608763464000002</v>
      </c>
      <c r="L14" s="334">
        <v>13.743398686999999</v>
      </c>
    </row>
    <row r="15" spans="2:12" ht="22.5" customHeight="1">
      <c r="B15" s="163">
        <v>8</v>
      </c>
      <c r="C15" s="163" t="s">
        <v>618</v>
      </c>
      <c r="D15" s="164">
        <v>2838</v>
      </c>
      <c r="E15" s="334">
        <v>3.1744611358000001</v>
      </c>
      <c r="F15" s="334">
        <v>18.791010389</v>
      </c>
      <c r="G15" s="335"/>
      <c r="H15" s="163">
        <v>8</v>
      </c>
      <c r="I15" s="166" t="s">
        <v>617</v>
      </c>
      <c r="J15" s="167">
        <v>2451</v>
      </c>
      <c r="K15" s="334">
        <v>2.9865477408999999</v>
      </c>
      <c r="L15" s="334">
        <v>12.602464688</v>
      </c>
    </row>
    <row r="16" spans="2:12" ht="22.5" customHeight="1">
      <c r="B16" s="163">
        <v>9</v>
      </c>
      <c r="C16" s="163" t="s">
        <v>602</v>
      </c>
      <c r="D16" s="164">
        <v>2358</v>
      </c>
      <c r="E16" s="334">
        <v>2.6375543898</v>
      </c>
      <c r="F16" s="334">
        <v>18.153250271000001</v>
      </c>
      <c r="G16" s="165"/>
      <c r="H16" s="163">
        <v>9</v>
      </c>
      <c r="I16" s="166" t="s">
        <v>620</v>
      </c>
      <c r="J16" s="167">
        <v>2022</v>
      </c>
      <c r="K16" s="334">
        <v>2.4638104986</v>
      </c>
      <c r="L16" s="334">
        <v>9.3795739959999995</v>
      </c>
    </row>
    <row r="17" spans="2:12" ht="22.5" customHeight="1">
      <c r="B17" s="163">
        <v>10</v>
      </c>
      <c r="C17" s="163" t="s">
        <v>619</v>
      </c>
      <c r="D17" s="164">
        <v>1889</v>
      </c>
      <c r="E17" s="334">
        <v>2.1129517566999998</v>
      </c>
      <c r="F17" s="334">
        <v>12.496534407</v>
      </c>
      <c r="G17" s="165"/>
      <c r="H17" s="163">
        <v>10</v>
      </c>
      <c r="I17" s="166" t="s">
        <v>619</v>
      </c>
      <c r="J17" s="167">
        <v>1858</v>
      </c>
      <c r="K17" s="334">
        <v>2.2639762148</v>
      </c>
      <c r="L17" s="334">
        <v>8.8703911702999996</v>
      </c>
    </row>
    <row r="18" spans="2:12">
      <c r="B18" s="236"/>
      <c r="C18" s="236" t="s">
        <v>599</v>
      </c>
      <c r="D18" s="315">
        <v>89401</v>
      </c>
      <c r="E18" s="317">
        <v>100</v>
      </c>
      <c r="F18" s="317">
        <v>597.05070048000005</v>
      </c>
      <c r="G18" s="336"/>
      <c r="H18" s="236"/>
      <c r="I18" s="236" t="s">
        <v>599</v>
      </c>
      <c r="J18" s="316">
        <v>82068</v>
      </c>
      <c r="K18" s="336">
        <v>100</v>
      </c>
      <c r="L18" s="336">
        <v>427.36787287999999</v>
      </c>
    </row>
    <row r="19" spans="2:12">
      <c r="B19" s="185" t="s">
        <v>549</v>
      </c>
      <c r="C19" s="240"/>
      <c r="D19" s="175"/>
      <c r="E19" s="176"/>
      <c r="F19" s="176"/>
      <c r="G19" s="178"/>
      <c r="H19" s="174"/>
      <c r="I19" s="174"/>
      <c r="J19" s="177"/>
      <c r="K19" s="178"/>
      <c r="L19" s="178"/>
    </row>
    <row r="20" spans="2:12">
      <c r="B20" s="474" t="s">
        <v>39</v>
      </c>
      <c r="C20" s="23"/>
      <c r="D20" s="304"/>
      <c r="E20" s="305"/>
      <c r="F20" s="305"/>
      <c r="G20" s="302"/>
      <c r="H20" s="337"/>
      <c r="I20" s="23"/>
      <c r="J20" s="304"/>
      <c r="K20" s="305"/>
      <c r="L20" s="305"/>
    </row>
    <row r="21" spans="2:12">
      <c r="B21" s="185" t="s">
        <v>621</v>
      </c>
      <c r="C21" s="23"/>
      <c r="D21" s="304"/>
      <c r="E21" s="305"/>
      <c r="F21" s="305"/>
      <c r="G21" s="302"/>
      <c r="H21" s="337"/>
      <c r="I21" s="23"/>
      <c r="J21" s="304"/>
      <c r="K21" s="305"/>
      <c r="L21" s="305"/>
    </row>
    <row r="22" spans="2:12" ht="18" customHeight="1">
      <c r="B22" s="185" t="s">
        <v>622</v>
      </c>
      <c r="C22" s="23"/>
      <c r="D22" s="304"/>
      <c r="E22" s="305"/>
      <c r="F22" s="305"/>
      <c r="G22" s="302"/>
      <c r="H22" s="337"/>
      <c r="I22" s="23"/>
      <c r="J22" s="304"/>
      <c r="K22" s="305"/>
      <c r="L22" s="305"/>
    </row>
    <row r="23" spans="2:12" ht="39" customHeight="1">
      <c r="B23" s="566" t="s">
        <v>511</v>
      </c>
      <c r="C23" s="566"/>
      <c r="D23" s="566"/>
      <c r="E23" s="566"/>
      <c r="F23" s="566"/>
      <c r="G23" s="566"/>
      <c r="H23" s="566"/>
      <c r="I23" s="566"/>
      <c r="J23" s="566"/>
      <c r="K23" s="566"/>
      <c r="L23" s="566"/>
    </row>
    <row r="24" spans="2:12">
      <c r="B24" s="185" t="s">
        <v>1002</v>
      </c>
      <c r="C24" s="23"/>
      <c r="D24" s="304"/>
      <c r="E24" s="305"/>
      <c r="F24" s="305"/>
      <c r="G24" s="302"/>
      <c r="H24" s="337"/>
      <c r="I24" s="23"/>
      <c r="J24" s="304"/>
      <c r="K24" s="305"/>
      <c r="L24" s="305"/>
    </row>
    <row r="25" spans="2:12">
      <c r="B25"/>
    </row>
    <row r="26" spans="2:12">
      <c r="B26"/>
    </row>
    <row r="27" spans="2:12">
      <c r="B27"/>
    </row>
    <row r="28" spans="2:12">
      <c r="B28"/>
    </row>
    <row r="29" spans="2:12">
      <c r="B29"/>
    </row>
    <row r="30" spans="2:12">
      <c r="B30"/>
    </row>
    <row r="31" spans="2:12">
      <c r="B31"/>
    </row>
    <row r="32" spans="2:12">
      <c r="B32"/>
    </row>
    <row r="33" spans="2:2" ht="25.5" customHeight="1">
      <c r="B33"/>
    </row>
    <row r="34" spans="2:2" ht="26.25" customHeight="1">
      <c r="B34"/>
    </row>
    <row r="35" spans="2:2">
      <c r="B35"/>
    </row>
    <row r="36" spans="2:2">
      <c r="B36"/>
    </row>
  </sheetData>
  <mergeCells count="6">
    <mergeCell ref="J1:K1"/>
    <mergeCell ref="B23:L23"/>
    <mergeCell ref="K2:L2"/>
    <mergeCell ref="B5:K5"/>
    <mergeCell ref="B6:E6"/>
    <mergeCell ref="H6:K6"/>
  </mergeCells>
  <hyperlinks>
    <hyperlink ref="J1:K1" location="Contents!A1" display="Return to contents" xr:uid="{92459283-C777-4CF5-A643-844CD47E43CF}"/>
  </hyperlink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L64"/>
  <sheetViews>
    <sheetView showGridLines="0" workbookViewId="0">
      <selection activeCell="K1" sqref="K1:L1"/>
    </sheetView>
  </sheetViews>
  <sheetFormatPr defaultRowHeight="15"/>
  <cols>
    <col min="2" max="2" width="12.28515625" customWidth="1"/>
    <col min="3" max="3" width="24.140625" customWidth="1"/>
    <col min="4" max="5" width="7.7109375" customWidth="1"/>
    <col min="6" max="7" width="9.42578125" customWidth="1"/>
    <col min="8" max="8" width="17.42578125" customWidth="1"/>
    <col min="9" max="9" width="25.42578125" customWidth="1"/>
  </cols>
  <sheetData>
    <row r="1" spans="2:12" ht="16.5" thickTop="1" thickBot="1">
      <c r="K1" s="510" t="s">
        <v>3</v>
      </c>
      <c r="L1" s="511"/>
    </row>
    <row r="2" spans="2:12" ht="15.75" thickTop="1"/>
    <row r="5" spans="2:12" ht="15.75">
      <c r="B5" s="503" t="s">
        <v>1063</v>
      </c>
      <c r="C5" s="503"/>
      <c r="D5" s="503"/>
      <c r="E5" s="503"/>
      <c r="F5" s="542"/>
      <c r="G5" s="542"/>
      <c r="H5" s="542"/>
      <c r="I5" s="542"/>
      <c r="J5" s="542"/>
      <c r="K5" s="542"/>
    </row>
    <row r="6" spans="2:12">
      <c r="B6" s="259"/>
      <c r="C6" s="260"/>
      <c r="D6" s="261"/>
      <c r="E6" s="262"/>
      <c r="F6" s="262"/>
      <c r="G6" s="263"/>
      <c r="H6" s="259"/>
      <c r="I6" s="260"/>
      <c r="J6" s="264"/>
      <c r="K6" s="265"/>
      <c r="L6" s="265"/>
    </row>
    <row r="7" spans="2:12">
      <c r="B7" s="266"/>
      <c r="C7" s="569" t="s">
        <v>11</v>
      </c>
      <c r="D7" s="569"/>
      <c r="E7" s="569"/>
      <c r="F7" s="267"/>
      <c r="G7" s="268"/>
      <c r="H7" s="266"/>
      <c r="I7" s="569" t="s">
        <v>12</v>
      </c>
      <c r="J7" s="569"/>
      <c r="K7" s="569"/>
      <c r="L7" s="267"/>
    </row>
    <row r="8" spans="2:12" ht="23.25">
      <c r="B8" s="169" t="s">
        <v>505</v>
      </c>
      <c r="C8" s="170" t="s">
        <v>37</v>
      </c>
      <c r="D8" s="269" t="s">
        <v>477</v>
      </c>
      <c r="E8" s="270" t="s">
        <v>595</v>
      </c>
      <c r="F8" s="271" t="s">
        <v>506</v>
      </c>
      <c r="G8" s="272"/>
      <c r="H8" s="169" t="s">
        <v>505</v>
      </c>
      <c r="I8" s="170" t="s">
        <v>37</v>
      </c>
      <c r="J8" s="269" t="s">
        <v>477</v>
      </c>
      <c r="K8" s="270" t="s">
        <v>595</v>
      </c>
      <c r="L8" s="271" t="s">
        <v>506</v>
      </c>
    </row>
    <row r="9" spans="2:12">
      <c r="B9" s="273" t="s">
        <v>507</v>
      </c>
      <c r="C9" s="274"/>
      <c r="D9" s="274"/>
      <c r="E9" s="274"/>
      <c r="F9" s="274"/>
      <c r="G9" s="172"/>
      <c r="H9" s="273" t="s">
        <v>507</v>
      </c>
      <c r="I9" s="171"/>
      <c r="J9" s="172"/>
      <c r="K9" s="275"/>
      <c r="L9" s="275"/>
    </row>
    <row r="10" spans="2:12" ht="69" customHeight="1">
      <c r="B10" s="276">
        <v>1</v>
      </c>
      <c r="C10" s="277" t="s">
        <v>596</v>
      </c>
      <c r="D10" s="278">
        <v>1321</v>
      </c>
      <c r="E10" s="279">
        <v>80.3</v>
      </c>
      <c r="F10" s="279">
        <v>286.17107007999999</v>
      </c>
      <c r="G10" s="165"/>
      <c r="H10" s="280">
        <v>1</v>
      </c>
      <c r="I10" s="281" t="s">
        <v>596</v>
      </c>
      <c r="J10" s="282">
        <v>1030</v>
      </c>
      <c r="K10" s="283">
        <v>78.900000000000006</v>
      </c>
      <c r="L10" s="283">
        <v>236.05012513</v>
      </c>
    </row>
    <row r="11" spans="2:12" ht="38.25" customHeight="1">
      <c r="B11" s="276">
        <v>2</v>
      </c>
      <c r="C11" s="281" t="s">
        <v>597</v>
      </c>
      <c r="D11" s="282">
        <v>128</v>
      </c>
      <c r="E11" s="283">
        <v>7.8</v>
      </c>
      <c r="F11" s="283">
        <v>27.728915192999999</v>
      </c>
      <c r="G11" s="165"/>
      <c r="H11" s="280">
        <v>2</v>
      </c>
      <c r="I11" s="281" t="s">
        <v>597</v>
      </c>
      <c r="J11" s="282">
        <v>89</v>
      </c>
      <c r="K11" s="283">
        <v>6.8</v>
      </c>
      <c r="L11" s="283">
        <v>20.396564210000001</v>
      </c>
    </row>
    <row r="12" spans="2:12" ht="29.25" customHeight="1">
      <c r="B12" s="276">
        <v>3</v>
      </c>
      <c r="C12" s="281" t="s">
        <v>598</v>
      </c>
      <c r="D12" s="282">
        <v>47</v>
      </c>
      <c r="E12" s="283">
        <v>2.9</v>
      </c>
      <c r="F12" s="283">
        <v>10.181711047</v>
      </c>
      <c r="G12" s="165"/>
      <c r="H12" s="280">
        <v>3</v>
      </c>
      <c r="I12" s="281" t="s">
        <v>598</v>
      </c>
      <c r="J12" s="282">
        <v>56</v>
      </c>
      <c r="K12" s="283">
        <v>4.3</v>
      </c>
      <c r="L12" s="283">
        <v>12.833793211</v>
      </c>
    </row>
    <row r="13" spans="2:12">
      <c r="B13" s="168"/>
      <c r="C13" s="236" t="s">
        <v>599</v>
      </c>
      <c r="D13" s="315">
        <v>1653</v>
      </c>
      <c r="E13" s="317">
        <v>100</v>
      </c>
      <c r="F13" s="317">
        <v>358.09294385999999</v>
      </c>
      <c r="G13" s="318"/>
      <c r="H13" s="322"/>
      <c r="I13" s="236" t="s">
        <v>599</v>
      </c>
      <c r="J13" s="315">
        <v>1308</v>
      </c>
      <c r="K13" s="317">
        <v>100</v>
      </c>
      <c r="L13" s="317">
        <v>299.76074143</v>
      </c>
    </row>
    <row r="14" spans="2:12">
      <c r="B14" s="174"/>
      <c r="C14" s="174"/>
      <c r="D14" s="175"/>
      <c r="E14" s="176"/>
      <c r="F14" s="176"/>
      <c r="G14" s="178"/>
      <c r="H14" s="285"/>
      <c r="I14" s="174"/>
      <c r="J14" s="177"/>
      <c r="K14" s="178"/>
      <c r="L14" s="178"/>
    </row>
    <row r="15" spans="2:12">
      <c r="B15" s="273" t="s">
        <v>508</v>
      </c>
      <c r="C15" s="174"/>
      <c r="D15" s="175"/>
      <c r="E15" s="176"/>
      <c r="F15" s="176"/>
      <c r="G15" s="178"/>
      <c r="H15" s="286" t="s">
        <v>508</v>
      </c>
      <c r="I15" s="174"/>
      <c r="J15" s="177"/>
      <c r="K15" s="178"/>
      <c r="L15" s="178"/>
    </row>
    <row r="16" spans="2:12" ht="30.75" customHeight="1">
      <c r="B16" s="276">
        <v>1</v>
      </c>
      <c r="C16" s="163" t="s">
        <v>600</v>
      </c>
      <c r="D16" s="164">
        <v>96</v>
      </c>
      <c r="E16" s="173">
        <v>13.6</v>
      </c>
      <c r="F16" s="173">
        <v>1.3989348277</v>
      </c>
      <c r="G16" s="165"/>
      <c r="H16" s="284">
        <v>1</v>
      </c>
      <c r="I16" s="166" t="s">
        <v>600</v>
      </c>
      <c r="J16" s="167">
        <v>67</v>
      </c>
      <c r="K16" s="165">
        <v>12.5</v>
      </c>
      <c r="L16" s="165">
        <v>1.0337299925000001</v>
      </c>
    </row>
    <row r="17" spans="2:12" ht="63" customHeight="1">
      <c r="B17" s="276">
        <v>2</v>
      </c>
      <c r="C17" s="163" t="s">
        <v>596</v>
      </c>
      <c r="D17" s="164">
        <v>81</v>
      </c>
      <c r="E17" s="173">
        <v>11.4</v>
      </c>
      <c r="F17" s="173">
        <v>1.1803512609</v>
      </c>
      <c r="G17" s="165"/>
      <c r="H17" s="284">
        <v>2</v>
      </c>
      <c r="I17" s="166" t="s">
        <v>596</v>
      </c>
      <c r="J17" s="167">
        <v>52</v>
      </c>
      <c r="K17" s="165">
        <v>9.6999999999999993</v>
      </c>
      <c r="L17" s="165">
        <v>0.80229790459999994</v>
      </c>
    </row>
    <row r="18" spans="2:12" ht="23.25" customHeight="1">
      <c r="B18" s="276">
        <v>3</v>
      </c>
      <c r="C18" s="163" t="s">
        <v>601</v>
      </c>
      <c r="D18" s="164">
        <v>56</v>
      </c>
      <c r="E18" s="173">
        <v>7.9</v>
      </c>
      <c r="F18" s="173">
        <v>0.81604531619999998</v>
      </c>
      <c r="G18" s="165"/>
      <c r="H18" s="284">
        <v>3</v>
      </c>
      <c r="I18" s="166" t="s">
        <v>601</v>
      </c>
      <c r="J18" s="167">
        <v>40</v>
      </c>
      <c r="K18" s="165">
        <v>7.4</v>
      </c>
      <c r="L18" s="165">
        <v>0.61715223429999999</v>
      </c>
    </row>
    <row r="19" spans="2:12">
      <c r="B19" s="168"/>
      <c r="C19" s="236" t="s">
        <v>599</v>
      </c>
      <c r="D19" s="316">
        <v>717</v>
      </c>
      <c r="E19" s="317">
        <v>100</v>
      </c>
      <c r="F19" s="317">
        <v>10.448294494000001</v>
      </c>
      <c r="G19" s="319"/>
      <c r="H19" s="323"/>
      <c r="I19" s="236" t="s">
        <v>599</v>
      </c>
      <c r="J19" s="315">
        <v>541</v>
      </c>
      <c r="K19" s="317">
        <v>100</v>
      </c>
      <c r="L19" s="317">
        <v>8.3469839693000001</v>
      </c>
    </row>
    <row r="20" spans="2:12">
      <c r="B20" s="163"/>
      <c r="C20" s="174"/>
      <c r="D20" s="175"/>
      <c r="E20" s="176"/>
      <c r="F20" s="176"/>
      <c r="G20" s="178"/>
      <c r="H20" s="287"/>
      <c r="I20" s="174"/>
      <c r="J20" s="177"/>
      <c r="K20" s="178"/>
      <c r="L20" s="178"/>
    </row>
    <row r="21" spans="2:12">
      <c r="B21" s="174" t="s">
        <v>45</v>
      </c>
      <c r="C21" s="174"/>
      <c r="D21" s="175"/>
      <c r="E21" s="176"/>
      <c r="F21" s="176"/>
      <c r="G21" s="178"/>
      <c r="H21" s="285" t="s">
        <v>45</v>
      </c>
      <c r="I21" s="174"/>
      <c r="J21" s="177"/>
      <c r="K21" s="178"/>
      <c r="L21" s="178"/>
    </row>
    <row r="22" spans="2:12" ht="20.25" customHeight="1">
      <c r="B22" s="276">
        <v>1</v>
      </c>
      <c r="C22" s="163" t="s">
        <v>602</v>
      </c>
      <c r="D22" s="164">
        <v>974</v>
      </c>
      <c r="E22" s="173">
        <v>37.4</v>
      </c>
      <c r="F22" s="173">
        <v>19.843553748000001</v>
      </c>
      <c r="G22" s="165"/>
      <c r="H22" s="284">
        <v>1</v>
      </c>
      <c r="I22" s="163" t="s">
        <v>602</v>
      </c>
      <c r="J22" s="167">
        <v>346</v>
      </c>
      <c r="K22" s="165">
        <v>33.6</v>
      </c>
      <c r="L22" s="165">
        <v>7.4816068156000002</v>
      </c>
    </row>
    <row r="23" spans="2:12" ht="27.75" customHeight="1">
      <c r="B23" s="276">
        <v>2</v>
      </c>
      <c r="C23" s="163" t="s">
        <v>600</v>
      </c>
      <c r="D23" s="164">
        <v>536</v>
      </c>
      <c r="E23" s="173">
        <v>20.6</v>
      </c>
      <c r="F23" s="173">
        <v>10.920066539</v>
      </c>
      <c r="G23" s="165"/>
      <c r="H23" s="284">
        <v>2</v>
      </c>
      <c r="I23" s="166" t="s">
        <v>600</v>
      </c>
      <c r="J23" s="167">
        <v>149</v>
      </c>
      <c r="K23" s="165">
        <v>14.5</v>
      </c>
      <c r="L23" s="165">
        <v>3.2218480218000001</v>
      </c>
    </row>
    <row r="24" spans="2:12" ht="19.5" customHeight="1">
      <c r="B24" s="276">
        <v>3</v>
      </c>
      <c r="C24" s="163" t="s">
        <v>603</v>
      </c>
      <c r="D24" s="164">
        <v>187</v>
      </c>
      <c r="E24" s="173">
        <v>7.2</v>
      </c>
      <c r="F24" s="173">
        <v>3.8097993336</v>
      </c>
      <c r="G24" s="165"/>
      <c r="H24" s="284">
        <v>3</v>
      </c>
      <c r="I24" s="166" t="s">
        <v>603</v>
      </c>
      <c r="J24" s="167">
        <v>51</v>
      </c>
      <c r="K24" s="165">
        <v>5</v>
      </c>
      <c r="L24" s="165">
        <v>1.1027801954000001</v>
      </c>
    </row>
    <row r="25" spans="2:12">
      <c r="B25" s="326"/>
      <c r="C25" s="236" t="s">
        <v>599</v>
      </c>
      <c r="D25" s="316">
        <v>2648</v>
      </c>
      <c r="E25" s="317">
        <v>100</v>
      </c>
      <c r="F25" s="317">
        <v>53.948388424000001</v>
      </c>
      <c r="G25" s="320"/>
      <c r="H25" s="324"/>
      <c r="I25" s="236" t="s">
        <v>599</v>
      </c>
      <c r="J25" s="315">
        <v>1041</v>
      </c>
      <c r="K25" s="317">
        <v>100</v>
      </c>
      <c r="L25" s="317">
        <v>22.509689869999999</v>
      </c>
    </row>
    <row r="26" spans="2:12">
      <c r="B26" s="179"/>
      <c r="C26" s="179"/>
      <c r="D26" s="180"/>
      <c r="E26" s="181"/>
      <c r="F26" s="181"/>
      <c r="G26" s="183"/>
      <c r="H26" s="288"/>
      <c r="I26" s="179"/>
      <c r="J26" s="182"/>
      <c r="K26" s="183"/>
      <c r="L26" s="183"/>
    </row>
    <row r="27" spans="2:12">
      <c r="B27" s="174" t="s">
        <v>509</v>
      </c>
      <c r="C27" s="179"/>
      <c r="D27" s="180"/>
      <c r="E27" s="181"/>
      <c r="F27" s="181"/>
      <c r="G27" s="183"/>
      <c r="H27" s="285" t="s">
        <v>509</v>
      </c>
      <c r="I27" s="179"/>
      <c r="J27" s="182"/>
      <c r="K27" s="183"/>
      <c r="L27" s="183"/>
    </row>
    <row r="28" spans="2:12" ht="20.25" customHeight="1">
      <c r="B28" s="276">
        <v>1</v>
      </c>
      <c r="C28" s="163" t="s">
        <v>602</v>
      </c>
      <c r="D28" s="164">
        <v>2693</v>
      </c>
      <c r="E28" s="173">
        <v>25.6</v>
      </c>
      <c r="F28" s="173">
        <v>24.975018026000001</v>
      </c>
      <c r="G28" s="165"/>
      <c r="H28" s="284">
        <v>1</v>
      </c>
      <c r="I28" s="163" t="s">
        <v>602</v>
      </c>
      <c r="J28" s="167">
        <v>874</v>
      </c>
      <c r="K28" s="165">
        <v>16.2</v>
      </c>
      <c r="L28" s="165">
        <v>8.0259983575000007</v>
      </c>
    </row>
    <row r="29" spans="2:12" ht="18.75" customHeight="1">
      <c r="B29" s="276">
        <v>2</v>
      </c>
      <c r="C29" s="163" t="s">
        <v>603</v>
      </c>
      <c r="D29" s="164">
        <v>1321</v>
      </c>
      <c r="E29" s="173">
        <v>12.5</v>
      </c>
      <c r="F29" s="173">
        <v>12.251020725</v>
      </c>
      <c r="G29" s="165"/>
      <c r="H29" s="284">
        <v>2</v>
      </c>
      <c r="I29" s="163" t="s">
        <v>603</v>
      </c>
      <c r="J29" s="167">
        <v>497</v>
      </c>
      <c r="K29" s="165">
        <v>9.1999999999999993</v>
      </c>
      <c r="L29" s="165">
        <v>4.5639830476999999</v>
      </c>
    </row>
    <row r="30" spans="2:12" ht="27" customHeight="1">
      <c r="B30" s="276">
        <v>3</v>
      </c>
      <c r="C30" s="163" t="s">
        <v>600</v>
      </c>
      <c r="D30" s="164">
        <v>886</v>
      </c>
      <c r="E30" s="173">
        <v>8.4</v>
      </c>
      <c r="F30" s="173">
        <v>8.2168087528000004</v>
      </c>
      <c r="G30" s="165"/>
      <c r="H30" s="284">
        <v>3</v>
      </c>
      <c r="I30" s="163" t="s">
        <v>604</v>
      </c>
      <c r="J30" s="167">
        <v>433</v>
      </c>
      <c r="K30" s="165">
        <v>8</v>
      </c>
      <c r="L30" s="165">
        <v>3.9762669208000001</v>
      </c>
    </row>
    <row r="31" spans="2:12">
      <c r="B31" s="236"/>
      <c r="C31" s="236" t="s">
        <v>599</v>
      </c>
      <c r="D31" s="315">
        <v>10747</v>
      </c>
      <c r="E31" s="317">
        <v>100</v>
      </c>
      <c r="F31" s="317">
        <v>99.668220843</v>
      </c>
      <c r="G31" s="321"/>
      <c r="H31" s="322"/>
      <c r="I31" s="325" t="s">
        <v>599</v>
      </c>
      <c r="J31" s="315">
        <v>5494</v>
      </c>
      <c r="K31" s="317">
        <v>100</v>
      </c>
      <c r="L31" s="317">
        <v>50.451756265999997</v>
      </c>
    </row>
    <row r="32" spans="2:12">
      <c r="B32" s="163"/>
      <c r="C32" s="163"/>
      <c r="D32" s="164"/>
      <c r="E32" s="173"/>
      <c r="F32" s="173"/>
      <c r="G32" s="274"/>
      <c r="H32" s="287"/>
      <c r="I32" s="166"/>
      <c r="J32" s="167"/>
      <c r="K32" s="165"/>
      <c r="L32" s="165"/>
    </row>
    <row r="33" spans="2:12">
      <c r="B33" s="273" t="s">
        <v>510</v>
      </c>
      <c r="C33" s="163"/>
      <c r="D33" s="164"/>
      <c r="E33" s="173"/>
      <c r="F33" s="173"/>
      <c r="G33" s="274"/>
      <c r="H33" s="286" t="s">
        <v>510</v>
      </c>
      <c r="I33" s="166"/>
      <c r="J33" s="167"/>
      <c r="K33" s="165"/>
      <c r="L33" s="165"/>
    </row>
    <row r="34" spans="2:12" ht="17.25" customHeight="1">
      <c r="B34" s="284">
        <v>1</v>
      </c>
      <c r="C34" s="163" t="s">
        <v>605</v>
      </c>
      <c r="D34" s="164">
        <v>5300</v>
      </c>
      <c r="E34" s="173">
        <v>13.4</v>
      </c>
      <c r="F34" s="173">
        <v>57.724037062000001</v>
      </c>
      <c r="G34" s="274"/>
      <c r="H34" s="284">
        <v>1</v>
      </c>
      <c r="I34" s="166" t="s">
        <v>604</v>
      </c>
      <c r="J34" s="167">
        <v>2707</v>
      </c>
      <c r="K34" s="165">
        <v>11.1</v>
      </c>
      <c r="L34" s="165">
        <v>28.421893025999999</v>
      </c>
    </row>
    <row r="35" spans="2:12" ht="21.75" customHeight="1">
      <c r="B35" s="284">
        <v>2</v>
      </c>
      <c r="C35" s="163" t="s">
        <v>606</v>
      </c>
      <c r="D35" s="164">
        <v>3034</v>
      </c>
      <c r="E35" s="173">
        <v>7.7</v>
      </c>
      <c r="F35" s="173">
        <v>33.044288385999998</v>
      </c>
      <c r="G35" s="165"/>
      <c r="H35" s="284">
        <v>2</v>
      </c>
      <c r="I35" s="163" t="s">
        <v>606</v>
      </c>
      <c r="J35" s="167">
        <v>2300</v>
      </c>
      <c r="K35" s="165">
        <v>9.4</v>
      </c>
      <c r="L35" s="165">
        <v>24.148634636000001</v>
      </c>
    </row>
    <row r="36" spans="2:12" ht="20.25" customHeight="1">
      <c r="B36" s="284">
        <v>3</v>
      </c>
      <c r="C36" s="163" t="s">
        <v>602</v>
      </c>
      <c r="D36" s="164">
        <v>2350</v>
      </c>
      <c r="E36" s="173">
        <v>5.9</v>
      </c>
      <c r="F36" s="173">
        <v>25.594620206999998</v>
      </c>
      <c r="G36" s="165"/>
      <c r="H36" s="284">
        <v>3</v>
      </c>
      <c r="I36" s="163" t="s">
        <v>605</v>
      </c>
      <c r="J36" s="167">
        <v>1247</v>
      </c>
      <c r="K36" s="165">
        <v>5.0999999999999996</v>
      </c>
      <c r="L36" s="165">
        <v>13.092759735</v>
      </c>
    </row>
    <row r="37" spans="2:12">
      <c r="B37" s="236"/>
      <c r="C37" s="236" t="s">
        <v>599</v>
      </c>
      <c r="D37" s="315">
        <v>40105</v>
      </c>
      <c r="E37" s="317">
        <v>100</v>
      </c>
      <c r="F37" s="317">
        <v>436.79669932000002</v>
      </c>
      <c r="G37" s="318"/>
      <c r="H37" s="322"/>
      <c r="I37" s="325" t="s">
        <v>599</v>
      </c>
      <c r="J37" s="315">
        <v>24605</v>
      </c>
      <c r="K37" s="317">
        <v>100</v>
      </c>
      <c r="L37" s="317">
        <v>258.33789358000001</v>
      </c>
    </row>
    <row r="38" spans="2:12">
      <c r="B38" s="163"/>
      <c r="C38" s="163"/>
      <c r="D38" s="164"/>
      <c r="E38" s="173"/>
      <c r="F38" s="173"/>
      <c r="G38" s="165"/>
      <c r="H38" s="287"/>
      <c r="I38" s="166"/>
      <c r="J38" s="167"/>
      <c r="K38" s="165"/>
      <c r="L38" s="165"/>
    </row>
    <row r="39" spans="2:12">
      <c r="B39" s="174" t="s">
        <v>13</v>
      </c>
      <c r="C39" s="163"/>
      <c r="D39" s="164"/>
      <c r="E39" s="173"/>
      <c r="F39" s="173"/>
      <c r="G39" s="165"/>
      <c r="H39" s="285" t="s">
        <v>13</v>
      </c>
      <c r="I39" s="166"/>
      <c r="J39" s="167"/>
      <c r="K39" s="165"/>
      <c r="L39" s="165"/>
    </row>
    <row r="40" spans="2:12" ht="18" customHeight="1">
      <c r="B40" s="284">
        <v>1</v>
      </c>
      <c r="C40" s="163" t="s">
        <v>605</v>
      </c>
      <c r="D40" s="164">
        <v>5761</v>
      </c>
      <c r="E40" s="173">
        <v>11.9</v>
      </c>
      <c r="F40" s="173">
        <v>167.57941842</v>
      </c>
      <c r="G40" s="165"/>
      <c r="H40" s="284">
        <v>1</v>
      </c>
      <c r="I40" s="166" t="s">
        <v>606</v>
      </c>
      <c r="J40" s="167">
        <v>3376</v>
      </c>
      <c r="K40" s="165">
        <v>10.7</v>
      </c>
      <c r="L40" s="165">
        <v>92.397437065999995</v>
      </c>
    </row>
    <row r="41" spans="2:12" ht="18" customHeight="1">
      <c r="B41" s="284">
        <v>2</v>
      </c>
      <c r="C41" s="163" t="s">
        <v>606</v>
      </c>
      <c r="D41" s="164">
        <v>4535</v>
      </c>
      <c r="E41" s="173">
        <v>9.3000000000000007</v>
      </c>
      <c r="F41" s="173">
        <v>131.91679614</v>
      </c>
      <c r="G41" s="274"/>
      <c r="H41" s="284">
        <v>2</v>
      </c>
      <c r="I41" s="166" t="s">
        <v>604</v>
      </c>
      <c r="J41" s="167">
        <v>2188</v>
      </c>
      <c r="K41" s="165">
        <v>6.9</v>
      </c>
      <c r="L41" s="165">
        <v>59.883173075000002</v>
      </c>
    </row>
    <row r="42" spans="2:12" ht="29.25" customHeight="1">
      <c r="B42" s="284">
        <v>3</v>
      </c>
      <c r="C42" s="163" t="s">
        <v>607</v>
      </c>
      <c r="D42" s="164">
        <v>2446</v>
      </c>
      <c r="E42" s="173">
        <v>5</v>
      </c>
      <c r="F42" s="173">
        <v>71.150712975999994</v>
      </c>
      <c r="G42" s="274"/>
      <c r="H42" s="284">
        <v>3</v>
      </c>
      <c r="I42" s="166" t="s">
        <v>607</v>
      </c>
      <c r="J42" s="167">
        <v>2116</v>
      </c>
      <c r="K42" s="165">
        <v>6.7</v>
      </c>
      <c r="L42" s="165">
        <v>57.912611621000003</v>
      </c>
    </row>
    <row r="43" spans="2:12">
      <c r="B43" s="236"/>
      <c r="C43" s="236" t="s">
        <v>599</v>
      </c>
      <c r="D43" s="315">
        <v>48881</v>
      </c>
      <c r="E43" s="317">
        <v>100</v>
      </c>
      <c r="F43" s="317">
        <v>1421.8798042000001</v>
      </c>
      <c r="G43" s="318"/>
      <c r="H43" s="322"/>
      <c r="I43" s="325" t="s">
        <v>599</v>
      </c>
      <c r="J43" s="315">
        <v>31842</v>
      </c>
      <c r="K43" s="317">
        <v>100</v>
      </c>
      <c r="L43" s="317">
        <v>871.48080303999996</v>
      </c>
    </row>
    <row r="44" spans="2:12">
      <c r="B44" s="163"/>
      <c r="C44" s="163"/>
      <c r="D44" s="164"/>
      <c r="E44" s="173"/>
      <c r="F44" s="173"/>
      <c r="G44" s="165"/>
      <c r="H44" s="287"/>
      <c r="I44" s="166"/>
      <c r="J44" s="167"/>
      <c r="K44" s="165"/>
      <c r="L44" s="165"/>
    </row>
    <row r="45" spans="2:12">
      <c r="B45" s="174" t="s">
        <v>41</v>
      </c>
      <c r="C45" s="163"/>
      <c r="D45" s="164"/>
      <c r="E45" s="173"/>
      <c r="F45" s="173"/>
      <c r="G45" s="165"/>
      <c r="H45" s="285" t="s">
        <v>41</v>
      </c>
      <c r="I45" s="166"/>
      <c r="J45" s="167"/>
      <c r="K45" s="165"/>
      <c r="L45" s="165"/>
    </row>
    <row r="46" spans="2:12" ht="19.5" customHeight="1">
      <c r="B46" s="284">
        <v>1</v>
      </c>
      <c r="C46" s="163" t="s">
        <v>605</v>
      </c>
      <c r="D46" s="164">
        <v>8115</v>
      </c>
      <c r="E46" s="173">
        <v>11.2</v>
      </c>
      <c r="F46" s="173">
        <v>445.30389589999999</v>
      </c>
      <c r="G46" s="165"/>
      <c r="H46" s="284">
        <v>1</v>
      </c>
      <c r="I46" s="166" t="s">
        <v>608</v>
      </c>
      <c r="J46" s="167">
        <v>6031</v>
      </c>
      <c r="K46" s="165">
        <v>10.6</v>
      </c>
      <c r="L46" s="165">
        <v>293.26582691999999</v>
      </c>
    </row>
    <row r="47" spans="2:12" ht="29.25" customHeight="1">
      <c r="B47" s="284">
        <v>2</v>
      </c>
      <c r="C47" s="163" t="s">
        <v>608</v>
      </c>
      <c r="D47" s="164">
        <v>4992</v>
      </c>
      <c r="E47" s="173">
        <v>6.9</v>
      </c>
      <c r="F47" s="173">
        <v>273.93186055000001</v>
      </c>
      <c r="G47" s="165"/>
      <c r="H47" s="284">
        <v>2</v>
      </c>
      <c r="I47" s="166" t="s">
        <v>605</v>
      </c>
      <c r="J47" s="167">
        <v>4321</v>
      </c>
      <c r="K47" s="165">
        <v>7.6</v>
      </c>
      <c r="L47" s="165">
        <v>210.11468051</v>
      </c>
    </row>
    <row r="48" spans="2:12" ht="21.75" customHeight="1">
      <c r="B48" s="284">
        <v>3</v>
      </c>
      <c r="C48" s="163" t="s">
        <v>606</v>
      </c>
      <c r="D48" s="164">
        <v>4825</v>
      </c>
      <c r="E48" s="173">
        <v>6.6</v>
      </c>
      <c r="F48" s="173">
        <v>264.76787402999997</v>
      </c>
      <c r="G48" s="165"/>
      <c r="H48" s="284">
        <v>3</v>
      </c>
      <c r="I48" s="166" t="s">
        <v>609</v>
      </c>
      <c r="J48" s="167">
        <v>3901</v>
      </c>
      <c r="K48" s="165">
        <v>6.9</v>
      </c>
      <c r="L48" s="165">
        <v>189.69159191</v>
      </c>
    </row>
    <row r="49" spans="2:12">
      <c r="B49" s="236"/>
      <c r="C49" s="236" t="s">
        <v>599</v>
      </c>
      <c r="D49" s="315">
        <v>73043</v>
      </c>
      <c r="E49" s="317">
        <v>100</v>
      </c>
      <c r="F49" s="317">
        <v>4008.1740565</v>
      </c>
      <c r="G49" s="318"/>
      <c r="H49" s="322"/>
      <c r="I49" s="325" t="s">
        <v>599</v>
      </c>
      <c r="J49" s="315">
        <v>57050</v>
      </c>
      <c r="K49" s="317">
        <v>100</v>
      </c>
      <c r="L49" s="317">
        <v>2774.1362005999999</v>
      </c>
    </row>
    <row r="50" spans="2:12">
      <c r="B50" s="163"/>
      <c r="C50" s="163"/>
      <c r="D50" s="164"/>
      <c r="E50" s="173"/>
      <c r="F50" s="173"/>
      <c r="G50" s="165"/>
      <c r="H50" s="287"/>
      <c r="I50" s="166"/>
      <c r="J50" s="167"/>
      <c r="K50" s="165"/>
      <c r="L50" s="165"/>
    </row>
    <row r="51" spans="2:12">
      <c r="B51" s="174" t="s">
        <v>33</v>
      </c>
      <c r="C51" s="163"/>
      <c r="D51" s="164"/>
      <c r="E51" s="173"/>
      <c r="F51" s="173"/>
      <c r="G51" s="165"/>
      <c r="H51" s="174" t="s">
        <v>33</v>
      </c>
      <c r="I51" s="166"/>
      <c r="J51" s="167"/>
      <c r="K51" s="165"/>
      <c r="L51" s="165"/>
    </row>
    <row r="52" spans="2:12" ht="19.5" customHeight="1">
      <c r="B52" s="284">
        <v>1</v>
      </c>
      <c r="C52" s="163" t="s">
        <v>605</v>
      </c>
      <c r="D52" s="164">
        <v>11270</v>
      </c>
      <c r="E52" s="173">
        <v>13.4</v>
      </c>
      <c r="F52" s="173">
        <v>1869.6705265999999</v>
      </c>
      <c r="G52" s="165"/>
      <c r="H52" s="284">
        <v>1</v>
      </c>
      <c r="I52" s="166" t="s">
        <v>608</v>
      </c>
      <c r="J52" s="167">
        <v>21898</v>
      </c>
      <c r="K52" s="165">
        <v>18.600000000000001</v>
      </c>
      <c r="L52" s="165">
        <v>2287.5325401999999</v>
      </c>
    </row>
    <row r="53" spans="2:12" ht="27.75" customHeight="1">
      <c r="B53" s="284">
        <v>2</v>
      </c>
      <c r="C53" s="163" t="s">
        <v>608</v>
      </c>
      <c r="D53" s="164">
        <v>10228</v>
      </c>
      <c r="E53" s="173">
        <v>12.1</v>
      </c>
      <c r="F53" s="173">
        <v>1696.8048044</v>
      </c>
      <c r="G53" s="165"/>
      <c r="H53" s="284">
        <v>2</v>
      </c>
      <c r="I53" s="166" t="s">
        <v>605</v>
      </c>
      <c r="J53" s="167">
        <v>13376</v>
      </c>
      <c r="K53" s="165">
        <v>11.4</v>
      </c>
      <c r="L53" s="165">
        <v>1397.2981669000001</v>
      </c>
    </row>
    <row r="54" spans="2:12" ht="27" customHeight="1">
      <c r="B54" s="284">
        <v>3</v>
      </c>
      <c r="C54" s="163" t="s">
        <v>609</v>
      </c>
      <c r="D54" s="164">
        <v>5345</v>
      </c>
      <c r="E54" s="173">
        <v>6.3</v>
      </c>
      <c r="F54" s="173">
        <v>886.72484156999997</v>
      </c>
      <c r="G54" s="165"/>
      <c r="H54" s="284">
        <v>3</v>
      </c>
      <c r="I54" s="166" t="s">
        <v>609</v>
      </c>
      <c r="J54" s="167">
        <v>10568</v>
      </c>
      <c r="K54" s="165">
        <v>9</v>
      </c>
      <c r="L54" s="165">
        <v>1103.9658363999999</v>
      </c>
    </row>
    <row r="55" spans="2:12">
      <c r="B55" s="236"/>
      <c r="C55" s="236" t="s">
        <v>599</v>
      </c>
      <c r="D55" s="315">
        <v>84530</v>
      </c>
      <c r="E55" s="317">
        <v>100</v>
      </c>
      <c r="F55" s="317">
        <v>14023.358439</v>
      </c>
      <c r="G55" s="318"/>
      <c r="H55" s="322"/>
      <c r="I55" s="325" t="s">
        <v>599</v>
      </c>
      <c r="J55" s="315">
        <v>117850</v>
      </c>
      <c r="K55" s="317">
        <v>100</v>
      </c>
      <c r="L55" s="317">
        <v>12310.974055999999</v>
      </c>
    </row>
    <row r="56" spans="2:12">
      <c r="B56" s="477" t="s">
        <v>39</v>
      </c>
      <c r="C56" s="289"/>
      <c r="D56" s="290"/>
      <c r="E56" s="291"/>
      <c r="F56" s="291"/>
      <c r="G56" s="291"/>
      <c r="H56" s="292"/>
      <c r="I56" s="293"/>
      <c r="J56" s="294"/>
      <c r="K56" s="295"/>
      <c r="L56" s="295"/>
    </row>
    <row r="57" spans="2:12" ht="24.75" customHeight="1">
      <c r="B57" s="298" t="s">
        <v>610</v>
      </c>
      <c r="C57" s="299"/>
      <c r="D57" s="300"/>
      <c r="E57" s="301"/>
      <c r="F57" s="301"/>
      <c r="G57" s="302"/>
      <c r="H57" s="184"/>
      <c r="I57" s="303"/>
      <c r="J57" s="304"/>
      <c r="K57" s="305"/>
      <c r="L57" s="305"/>
    </row>
    <row r="58" spans="2:12" ht="24.75" customHeight="1">
      <c r="B58" s="306" t="s">
        <v>611</v>
      </c>
      <c r="C58" s="299"/>
      <c r="D58" s="300"/>
      <c r="E58" s="301"/>
      <c r="F58" s="301"/>
      <c r="G58" s="302"/>
      <c r="H58" s="184"/>
      <c r="I58" s="303"/>
      <c r="J58" s="304"/>
      <c r="K58" s="305"/>
      <c r="L58" s="305"/>
    </row>
    <row r="59" spans="2:12" ht="24.75" customHeight="1">
      <c r="B59" s="568" t="s">
        <v>511</v>
      </c>
      <c r="C59" s="568"/>
      <c r="D59" s="568"/>
      <c r="E59" s="568"/>
      <c r="F59" s="568"/>
      <c r="G59" s="568"/>
      <c r="H59" s="568"/>
      <c r="I59" s="568"/>
      <c r="J59" s="568"/>
      <c r="K59" s="568"/>
      <c r="L59" s="568"/>
    </row>
    <row r="60" spans="2:12" ht="24.75" customHeight="1">
      <c r="B60" s="568" t="s">
        <v>612</v>
      </c>
      <c r="C60" s="568"/>
      <c r="D60" s="568"/>
      <c r="E60" s="568"/>
      <c r="F60" s="568"/>
      <c r="G60" s="568"/>
      <c r="H60" s="568"/>
      <c r="I60" s="568"/>
      <c r="J60" s="568"/>
      <c r="K60" s="568"/>
      <c r="L60" s="568"/>
    </row>
    <row r="61" spans="2:12" ht="24.75" customHeight="1">
      <c r="B61" s="298" t="s">
        <v>613</v>
      </c>
      <c r="C61" s="299"/>
      <c r="D61" s="300"/>
      <c r="E61" s="301"/>
      <c r="F61" s="301"/>
      <c r="G61" s="307"/>
      <c r="H61" s="302"/>
      <c r="I61" s="184"/>
      <c r="J61" s="303"/>
      <c r="K61" s="304"/>
      <c r="L61" s="304"/>
    </row>
    <row r="62" spans="2:12" ht="24.75" customHeight="1">
      <c r="B62" s="298" t="s">
        <v>1002</v>
      </c>
      <c r="C62" s="293"/>
      <c r="D62" s="308"/>
      <c r="E62" s="297"/>
      <c r="F62" s="297"/>
      <c r="G62" s="309"/>
      <c r="H62" s="310"/>
      <c r="I62" s="293"/>
      <c r="J62" s="296"/>
      <c r="K62" s="297"/>
      <c r="L62" s="297"/>
    </row>
    <row r="63" spans="2:12">
      <c r="B63" s="298"/>
      <c r="C63" s="293"/>
      <c r="D63" s="296"/>
      <c r="E63" s="297"/>
      <c r="F63" s="297"/>
      <c r="G63" s="311"/>
      <c r="H63" s="311"/>
      <c r="I63" s="312"/>
      <c r="J63" s="296"/>
      <c r="K63" s="295"/>
      <c r="L63" s="295"/>
    </row>
    <row r="64" spans="2:12">
      <c r="B64" s="311"/>
      <c r="C64" s="313"/>
      <c r="D64" s="296"/>
      <c r="E64" s="297"/>
      <c r="F64" s="297"/>
      <c r="G64" s="314"/>
      <c r="H64" s="311"/>
      <c r="I64" s="293"/>
      <c r="J64" s="296"/>
      <c r="K64" s="297"/>
      <c r="L64" s="297"/>
    </row>
  </sheetData>
  <mergeCells count="6">
    <mergeCell ref="K1:L1"/>
    <mergeCell ref="B59:L59"/>
    <mergeCell ref="B60:L60"/>
    <mergeCell ref="B5:K5"/>
    <mergeCell ref="C7:E7"/>
    <mergeCell ref="I7:K7"/>
  </mergeCells>
  <hyperlinks>
    <hyperlink ref="K1:L1" location="Contents!A1" display="Return to contents" xr:uid="{33DDD739-5995-4B35-A9F9-0971C8BD91A6}"/>
  </hyperlink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23"/>
  <sheetViews>
    <sheetView showGridLines="0" zoomScaleNormal="100" workbookViewId="0">
      <selection activeCell="H1" sqref="H1:I1"/>
    </sheetView>
  </sheetViews>
  <sheetFormatPr defaultRowHeight="15"/>
  <cols>
    <col min="1" max="1" width="9.140625" customWidth="1"/>
    <col min="2" max="2" width="22.42578125" customWidth="1"/>
    <col min="3" max="4" width="13" customWidth="1"/>
    <col min="5" max="5" width="8.42578125" customWidth="1"/>
    <col min="6" max="6" width="42.7109375" customWidth="1"/>
    <col min="7" max="7" width="19.140625" customWidth="1"/>
    <col min="8" max="8" width="11" customWidth="1"/>
  </cols>
  <sheetData>
    <row r="1" spans="1:10" ht="16.5" thickTop="1" thickBot="1">
      <c r="H1" s="510" t="s">
        <v>3</v>
      </c>
      <c r="I1" s="511"/>
      <c r="J1" s="8"/>
    </row>
    <row r="2" spans="1:10" ht="15.75" thickTop="1">
      <c r="I2" s="527"/>
      <c r="J2" s="528"/>
    </row>
    <row r="3" spans="1:10">
      <c r="I3" s="8"/>
      <c r="J3" s="8"/>
    </row>
    <row r="4" spans="1:10">
      <c r="I4" s="8"/>
      <c r="J4" s="8"/>
    </row>
    <row r="5" spans="1:10" ht="15" customHeight="1"/>
    <row r="6" spans="1:10" ht="29.25" customHeight="1">
      <c r="B6" s="570" t="s">
        <v>1004</v>
      </c>
      <c r="C6" s="570"/>
      <c r="D6" s="570"/>
      <c r="E6" s="570"/>
      <c r="F6" s="570"/>
      <c r="G6" s="24"/>
      <c r="H6" s="24"/>
      <c r="I6" s="24"/>
      <c r="J6" s="24"/>
    </row>
    <row r="7" spans="1:10" ht="15.75">
      <c r="B7" s="52"/>
      <c r="C7" s="52"/>
      <c r="D7" s="52"/>
      <c r="E7" s="52"/>
      <c r="F7" s="52"/>
      <c r="G7" s="24"/>
      <c r="H7" s="24"/>
      <c r="I7" s="24"/>
      <c r="J7" s="24"/>
    </row>
    <row r="8" spans="1:10" ht="16.5">
      <c r="B8" s="243"/>
      <c r="C8" s="565" t="s">
        <v>909</v>
      </c>
      <c r="D8" s="565"/>
      <c r="E8" s="52"/>
      <c r="F8" s="52"/>
      <c r="G8" s="24"/>
      <c r="H8" s="24"/>
      <c r="I8" s="24"/>
      <c r="J8" s="24"/>
    </row>
    <row r="9" spans="1:10">
      <c r="A9" s="25"/>
      <c r="B9" s="26" t="s">
        <v>40</v>
      </c>
      <c r="C9" s="238" t="s">
        <v>11</v>
      </c>
      <c r="D9" s="238" t="s">
        <v>12</v>
      </c>
      <c r="F9" s="571"/>
      <c r="G9" s="571"/>
      <c r="H9" s="571"/>
    </row>
    <row r="10" spans="1:10">
      <c r="A10" s="27"/>
      <c r="B10" s="28" t="s">
        <v>900</v>
      </c>
      <c r="C10" s="118">
        <v>3.8065053008540621</v>
      </c>
      <c r="D10" s="118">
        <v>3.5980557990047282</v>
      </c>
      <c r="F10" s="29"/>
      <c r="G10" s="30"/>
      <c r="H10" s="30"/>
      <c r="I10" s="21"/>
    </row>
    <row r="11" spans="1:10">
      <c r="A11" s="31"/>
      <c r="B11" s="28" t="s">
        <v>901</v>
      </c>
      <c r="C11" s="118">
        <v>1.6866992154343305</v>
      </c>
      <c r="D11" s="118">
        <v>1.6843900309412194</v>
      </c>
      <c r="F11" s="32"/>
      <c r="G11" s="33"/>
      <c r="H11" s="34"/>
    </row>
    <row r="12" spans="1:10">
      <c r="A12" s="31"/>
      <c r="B12" s="28" t="s">
        <v>902</v>
      </c>
      <c r="C12" s="118">
        <v>1.7751481732078827</v>
      </c>
      <c r="D12" s="118">
        <v>3.1184620520070165</v>
      </c>
      <c r="F12" s="32"/>
      <c r="G12" s="33"/>
      <c r="H12" s="34"/>
    </row>
    <row r="13" spans="1:10">
      <c r="A13" s="31"/>
      <c r="B13" s="28" t="s">
        <v>903</v>
      </c>
      <c r="C13" s="118">
        <v>1.9021577338925764</v>
      </c>
      <c r="D13" s="118">
        <v>3.4699325176758595</v>
      </c>
      <c r="F13" s="32"/>
      <c r="G13" s="33"/>
      <c r="H13" s="34"/>
    </row>
    <row r="14" spans="1:10">
      <c r="A14" s="31"/>
      <c r="B14" s="28" t="s">
        <v>904</v>
      </c>
      <c r="C14" s="118">
        <v>2.5351501290325911</v>
      </c>
      <c r="D14" s="118">
        <v>3.7798519930204066</v>
      </c>
      <c r="F14" s="32"/>
      <c r="G14" s="33"/>
      <c r="H14" s="34"/>
    </row>
    <row r="15" spans="1:10" ht="15" customHeight="1">
      <c r="A15" s="31"/>
      <c r="B15" s="28" t="s">
        <v>905</v>
      </c>
      <c r="C15" s="118">
        <v>3.0879607163202518</v>
      </c>
      <c r="D15" s="118">
        <v>5.1009629472831</v>
      </c>
      <c r="F15" s="32"/>
      <c r="G15" s="33"/>
      <c r="H15" s="34"/>
    </row>
    <row r="16" spans="1:10">
      <c r="A16" s="31"/>
      <c r="B16" s="28" t="s">
        <v>906</v>
      </c>
      <c r="C16" s="118">
        <v>4.1061333445520249</v>
      </c>
      <c r="D16" s="118">
        <v>4.7020017499015765</v>
      </c>
      <c r="F16" s="32"/>
      <c r="G16" s="33"/>
      <c r="H16" s="34"/>
    </row>
    <row r="17" spans="1:8">
      <c r="A17" s="31"/>
      <c r="B17" s="28" t="s">
        <v>907</v>
      </c>
      <c r="C17" s="118">
        <v>5.8081211094419265</v>
      </c>
      <c r="D17" s="118">
        <v>6.2845506488869338</v>
      </c>
      <c r="F17" s="32"/>
      <c r="G17" s="33"/>
      <c r="H17" s="34"/>
    </row>
    <row r="18" spans="1:8" ht="15" customHeight="1">
      <c r="A18" s="31"/>
      <c r="B18" s="28" t="s">
        <v>908</v>
      </c>
      <c r="C18" s="118">
        <v>8.373298066490646</v>
      </c>
      <c r="D18" s="118">
        <v>8.5141585256834436</v>
      </c>
      <c r="F18" s="32"/>
      <c r="G18" s="33"/>
      <c r="H18" s="34"/>
    </row>
    <row r="19" spans="1:8">
      <c r="A19" s="31"/>
      <c r="B19" s="28" t="s">
        <v>33</v>
      </c>
      <c r="C19" s="118">
        <v>11.10513608428446</v>
      </c>
      <c r="D19" s="118">
        <v>7.2286821348131625</v>
      </c>
      <c r="F19" s="32"/>
      <c r="G19" s="33"/>
      <c r="H19" s="34"/>
    </row>
    <row r="20" spans="1:8">
      <c r="B20" s="36" t="s">
        <v>35</v>
      </c>
      <c r="C20" s="119">
        <v>3.27</v>
      </c>
      <c r="D20" s="119">
        <v>4.13</v>
      </c>
    </row>
    <row r="21" spans="1:8" s="123" customFormat="1" ht="14.25" customHeight="1">
      <c r="E21" s="145"/>
      <c r="F21" s="145"/>
    </row>
    <row r="22" spans="1:8" ht="38.25" customHeight="1">
      <c r="B22" s="539" t="s">
        <v>1091</v>
      </c>
      <c r="C22" s="539"/>
      <c r="D22" s="539"/>
      <c r="E22" s="539"/>
      <c r="F22" s="539"/>
    </row>
    <row r="23" spans="1:8">
      <c r="B23" s="153"/>
    </row>
  </sheetData>
  <mergeCells count="6">
    <mergeCell ref="B22:F22"/>
    <mergeCell ref="I2:J2"/>
    <mergeCell ref="B6:F6"/>
    <mergeCell ref="F9:H9"/>
    <mergeCell ref="H1:I1"/>
    <mergeCell ref="C8:D8"/>
  </mergeCells>
  <hyperlinks>
    <hyperlink ref="H1:I1" location="Contents!A1" display="Return to contents" xr:uid="{00000000-0004-0000-1000-000000000000}"/>
  </hyperlinks>
  <pageMargins left="0.7" right="0.7" top="0.75" bottom="0.75" header="0.3" footer="0.3"/>
  <pageSetup paperSize="9" orientation="portrait" r:id="rId1"/>
  <ignoredErrors>
    <ignoredError sqref="B11" twoDigitTextYear="1"/>
  </ignoredError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45"/>
  <sheetViews>
    <sheetView showGridLines="0" zoomScaleNormal="100" workbookViewId="0">
      <selection activeCell="I1" sqref="I1:J1"/>
    </sheetView>
  </sheetViews>
  <sheetFormatPr defaultRowHeight="15"/>
  <cols>
    <col min="1" max="1" width="9.140625" customWidth="1"/>
    <col min="2" max="2" width="14.7109375" customWidth="1"/>
    <col min="3" max="3" width="18.7109375" customWidth="1"/>
    <col min="4" max="4" width="17.7109375" customWidth="1"/>
    <col min="5" max="5" width="8.42578125" customWidth="1"/>
    <col min="6" max="6" width="42.7109375" customWidth="1"/>
    <col min="7" max="7" width="19.140625" customWidth="1"/>
    <col min="8" max="8" width="11" customWidth="1"/>
    <col min="10" max="10" width="19.28515625" customWidth="1"/>
    <col min="11" max="11" width="14.5703125" customWidth="1"/>
    <col min="12" max="12" width="16.42578125" customWidth="1"/>
  </cols>
  <sheetData>
    <row r="1" spans="1:21" ht="16.5" thickTop="1" thickBot="1">
      <c r="I1" s="510" t="s">
        <v>3</v>
      </c>
      <c r="J1" s="511"/>
    </row>
    <row r="2" spans="1:21" ht="15.75" thickTop="1">
      <c r="I2" s="527"/>
      <c r="J2" s="527"/>
    </row>
    <row r="3" spans="1:21">
      <c r="I3" s="8"/>
      <c r="J3" s="8"/>
    </row>
    <row r="4" spans="1:21">
      <c r="I4" s="8"/>
      <c r="J4" s="8"/>
    </row>
    <row r="5" spans="1:21" ht="17.25" customHeight="1">
      <c r="B5" s="503" t="s">
        <v>1005</v>
      </c>
      <c r="C5" s="503"/>
      <c r="D5" s="503"/>
      <c r="E5" s="503"/>
      <c r="F5" s="503"/>
      <c r="G5" s="503"/>
      <c r="J5" s="396" t="s">
        <v>1006</v>
      </c>
      <c r="K5" s="85"/>
      <c r="L5" s="85"/>
      <c r="M5" s="85"/>
      <c r="N5" s="85"/>
      <c r="O5" s="85"/>
      <c r="P5" s="85"/>
      <c r="Q5" s="85"/>
      <c r="R5" s="85"/>
      <c r="S5" s="85"/>
      <c r="T5" s="85"/>
      <c r="U5" s="85"/>
    </row>
    <row r="6" spans="1:21" ht="15.75">
      <c r="B6" s="52"/>
      <c r="C6" s="52"/>
      <c r="D6" s="52"/>
      <c r="E6" s="24"/>
      <c r="F6" s="24"/>
      <c r="G6" s="24"/>
      <c r="H6" s="24"/>
      <c r="I6" s="503"/>
      <c r="J6" s="503"/>
      <c r="K6" s="503"/>
      <c r="L6" s="503"/>
      <c r="M6" s="503"/>
      <c r="N6" s="503"/>
    </row>
    <row r="7" spans="1:21" ht="15.75">
      <c r="B7" s="243"/>
      <c r="C7" s="575" t="s">
        <v>552</v>
      </c>
      <c r="D7" s="575"/>
      <c r="E7" s="24"/>
      <c r="F7" s="24"/>
      <c r="G7" s="24"/>
      <c r="H7" s="24"/>
      <c r="I7" s="24"/>
      <c r="J7" s="243"/>
      <c r="K7" s="575" t="s">
        <v>552</v>
      </c>
      <c r="L7" s="575"/>
    </row>
    <row r="8" spans="1:21">
      <c r="A8" s="25"/>
      <c r="B8" s="37" t="s">
        <v>42</v>
      </c>
      <c r="C8" s="120" t="s">
        <v>11</v>
      </c>
      <c r="D8" s="120" t="s">
        <v>553</v>
      </c>
      <c r="E8" s="38"/>
      <c r="F8" s="573"/>
      <c r="G8" s="573"/>
      <c r="H8" s="573"/>
      <c r="J8" s="37" t="s">
        <v>42</v>
      </c>
      <c r="K8" s="120" t="s">
        <v>11</v>
      </c>
      <c r="L8" s="120" t="s">
        <v>553</v>
      </c>
    </row>
    <row r="9" spans="1:21" ht="15" customHeight="1">
      <c r="A9" s="27"/>
      <c r="B9" s="39" t="s">
        <v>594</v>
      </c>
      <c r="C9" s="234">
        <v>616.45043703210126</v>
      </c>
      <c r="D9" s="234">
        <v>506.56674640983391</v>
      </c>
      <c r="E9" s="186"/>
      <c r="F9" s="186"/>
      <c r="G9" s="25"/>
      <c r="H9" s="154"/>
      <c r="I9" s="155"/>
      <c r="J9" s="383" t="s">
        <v>16</v>
      </c>
      <c r="K9" s="234">
        <v>648.6</v>
      </c>
      <c r="L9" s="234">
        <v>548.29999999999995</v>
      </c>
      <c r="M9" s="149"/>
      <c r="N9" s="149"/>
      <c r="O9" s="149"/>
      <c r="P9" s="149"/>
      <c r="Q9" s="149"/>
      <c r="R9" s="149"/>
      <c r="S9" s="149"/>
    </row>
    <row r="10" spans="1:21">
      <c r="A10" s="40"/>
      <c r="B10" s="39" t="s">
        <v>43</v>
      </c>
      <c r="C10" s="234">
        <v>170.37502034363303</v>
      </c>
      <c r="D10" s="234">
        <v>128.21283804322286</v>
      </c>
      <c r="E10" s="186"/>
      <c r="F10" s="186"/>
      <c r="G10" s="41"/>
      <c r="H10" s="156"/>
      <c r="I10" s="149"/>
      <c r="J10" s="383" t="s">
        <v>44</v>
      </c>
      <c r="K10" s="234">
        <v>264.39999999999998</v>
      </c>
      <c r="L10" s="234">
        <v>232.1</v>
      </c>
      <c r="M10" s="149"/>
      <c r="N10" s="149"/>
      <c r="O10" s="149"/>
      <c r="P10" s="149"/>
      <c r="Q10" s="149"/>
      <c r="R10" s="149"/>
      <c r="S10" s="149"/>
    </row>
    <row r="11" spans="1:21">
      <c r="A11" s="40"/>
      <c r="B11" s="39" t="s">
        <v>44</v>
      </c>
      <c r="C11" s="234">
        <v>94.775189872499723</v>
      </c>
      <c r="D11" s="234">
        <v>80.195850787392033</v>
      </c>
      <c r="E11" s="186"/>
      <c r="F11" s="186"/>
      <c r="G11" s="41"/>
      <c r="H11" s="156"/>
      <c r="I11" s="149"/>
      <c r="J11" s="383" t="s">
        <v>45</v>
      </c>
      <c r="K11" s="234">
        <v>311.7</v>
      </c>
      <c r="L11" s="234">
        <v>424.3</v>
      </c>
      <c r="M11" s="149"/>
      <c r="N11" s="149"/>
      <c r="O11" s="149"/>
      <c r="P11" s="149"/>
      <c r="Q11" s="149"/>
      <c r="R11" s="149"/>
      <c r="S11" s="149"/>
    </row>
    <row r="12" spans="1:21">
      <c r="A12" s="40"/>
      <c r="B12" s="39" t="s">
        <v>45</v>
      </c>
      <c r="C12" s="234">
        <v>145.16593464671683</v>
      </c>
      <c r="D12" s="234">
        <v>259.60230851296291</v>
      </c>
      <c r="E12" s="186"/>
      <c r="F12" s="186"/>
      <c r="G12" s="41"/>
      <c r="H12" s="156"/>
      <c r="I12" s="149"/>
      <c r="J12" s="383" t="s">
        <v>7</v>
      </c>
      <c r="K12" s="234">
        <v>293.8</v>
      </c>
      <c r="L12" s="234">
        <v>387.2</v>
      </c>
      <c r="M12" s="149"/>
      <c r="N12" s="149"/>
      <c r="O12" s="149"/>
      <c r="P12" s="149"/>
      <c r="Q12" s="149"/>
      <c r="R12" s="149"/>
      <c r="S12" s="149"/>
    </row>
    <row r="13" spans="1:21">
      <c r="A13" s="40"/>
      <c r="B13" s="39" t="s">
        <v>7</v>
      </c>
      <c r="C13" s="234">
        <v>168.03305094201156</v>
      </c>
      <c r="D13" s="234">
        <v>412.69069388337374</v>
      </c>
      <c r="E13" s="186"/>
      <c r="F13" s="186"/>
      <c r="G13" s="41"/>
      <c r="H13" s="156"/>
      <c r="I13" s="149"/>
      <c r="J13" s="383" t="s">
        <v>8</v>
      </c>
      <c r="K13" s="234">
        <v>280.89999999999998</v>
      </c>
      <c r="L13" s="234">
        <v>305.3</v>
      </c>
      <c r="M13" s="149"/>
      <c r="N13" s="149"/>
      <c r="O13" s="149"/>
      <c r="P13" s="149"/>
      <c r="Q13" s="149"/>
      <c r="R13" s="149"/>
      <c r="S13" s="149"/>
    </row>
    <row r="14" spans="1:21" ht="15" customHeight="1">
      <c r="A14" s="40"/>
      <c r="B14" s="39" t="s">
        <v>8</v>
      </c>
      <c r="C14" s="234">
        <v>246.62589218495583</v>
      </c>
      <c r="D14" s="234">
        <v>415.27449727961181</v>
      </c>
      <c r="E14" s="186"/>
      <c r="F14" s="186"/>
      <c r="G14" s="41"/>
      <c r="H14" s="22"/>
      <c r="J14" s="383" t="s">
        <v>9</v>
      </c>
      <c r="K14" s="234">
        <v>287</v>
      </c>
      <c r="L14" s="234">
        <v>279</v>
      </c>
    </row>
    <row r="15" spans="1:21">
      <c r="A15" s="40"/>
      <c r="B15" s="39" t="s">
        <v>9</v>
      </c>
      <c r="C15" s="234">
        <v>407.59694274443063</v>
      </c>
      <c r="D15" s="234">
        <v>442.86559879728514</v>
      </c>
      <c r="E15" s="186"/>
      <c r="F15" s="186"/>
      <c r="G15" s="41"/>
      <c r="H15" s="22"/>
      <c r="J15" s="383" t="s">
        <v>10</v>
      </c>
      <c r="K15" s="234">
        <v>296.8</v>
      </c>
      <c r="L15" s="234">
        <v>264.3</v>
      </c>
    </row>
    <row r="16" spans="1:21">
      <c r="A16" s="40"/>
      <c r="B16" s="39" t="s">
        <v>10</v>
      </c>
      <c r="C16" s="234">
        <v>657.60985161918018</v>
      </c>
      <c r="D16" s="234">
        <v>587.81685580111753</v>
      </c>
      <c r="E16" s="186"/>
      <c r="F16" s="186"/>
      <c r="G16" s="41"/>
      <c r="H16" s="22"/>
      <c r="J16" s="383" t="s">
        <v>13</v>
      </c>
      <c r="K16" s="234">
        <v>347.1</v>
      </c>
      <c r="L16" s="234">
        <v>295</v>
      </c>
    </row>
    <row r="17" spans="1:12" ht="15" customHeight="1">
      <c r="A17" s="40"/>
      <c r="B17" s="39" t="s">
        <v>13</v>
      </c>
      <c r="C17" s="234">
        <v>1098.3003239341695</v>
      </c>
      <c r="D17" s="234">
        <v>902.75641511236131</v>
      </c>
      <c r="E17" s="186"/>
      <c r="F17" s="186"/>
      <c r="G17" s="41"/>
      <c r="H17" s="22"/>
      <c r="J17" s="383" t="s">
        <v>41</v>
      </c>
      <c r="K17" s="234">
        <v>537.29999999999995</v>
      </c>
      <c r="L17" s="234">
        <v>470.9</v>
      </c>
    </row>
    <row r="18" spans="1:12">
      <c r="A18" s="40"/>
      <c r="B18" s="39" t="s">
        <v>41</v>
      </c>
      <c r="C18" s="234">
        <v>1715.7189102097022</v>
      </c>
      <c r="D18" s="234">
        <v>1263.415860975444</v>
      </c>
      <c r="E18" s="186"/>
      <c r="F18" s="186"/>
      <c r="G18" s="41"/>
      <c r="H18" s="22"/>
      <c r="J18" s="451" t="s">
        <v>33</v>
      </c>
      <c r="K18" s="478">
        <v>873</v>
      </c>
      <c r="L18" s="478">
        <v>712.4</v>
      </c>
    </row>
    <row r="19" spans="1:12">
      <c r="A19" s="42"/>
      <c r="B19" s="68" t="s">
        <v>33</v>
      </c>
      <c r="C19" s="234">
        <v>1810.2871398522723</v>
      </c>
      <c r="D19" s="234">
        <v>1245.3781253848997</v>
      </c>
      <c r="E19" s="186"/>
      <c r="F19" s="186"/>
      <c r="G19" s="41"/>
      <c r="H19" s="22"/>
      <c r="J19" s="480" t="s">
        <v>39</v>
      </c>
      <c r="K19" s="234"/>
      <c r="L19" s="234"/>
    </row>
    <row r="20" spans="1:12">
      <c r="A20" s="42"/>
      <c r="B20" s="194" t="s">
        <v>35</v>
      </c>
      <c r="C20" s="235">
        <v>442.18859987344695</v>
      </c>
      <c r="D20" s="235">
        <v>478.89835940298804</v>
      </c>
      <c r="E20" s="193"/>
      <c r="F20" s="193"/>
      <c r="G20" s="41"/>
      <c r="H20" s="22"/>
      <c r="J20" s="481" t="s">
        <v>1007</v>
      </c>
      <c r="K20" s="479"/>
      <c r="L20" s="479"/>
    </row>
    <row r="21" spans="1:12">
      <c r="B21" s="110" t="s">
        <v>39</v>
      </c>
      <c r="C21" s="111"/>
      <c r="D21" s="111"/>
      <c r="J21" s="42" t="s">
        <v>1008</v>
      </c>
    </row>
    <row r="22" spans="1:12" ht="23.25" customHeight="1">
      <c r="B22" s="574" t="s">
        <v>46</v>
      </c>
      <c r="C22" s="574"/>
      <c r="D22" s="574"/>
      <c r="E22" s="574"/>
      <c r="F22" s="574"/>
      <c r="G22" s="574"/>
      <c r="J22" s="110" t="s">
        <v>1077</v>
      </c>
    </row>
    <row r="23" spans="1:12">
      <c r="B23" s="572" t="s">
        <v>86</v>
      </c>
      <c r="C23" s="572"/>
      <c r="D23" s="572"/>
      <c r="E23" s="572"/>
      <c r="F23" s="572"/>
      <c r="G23" s="572"/>
    </row>
    <row r="24" spans="1:12">
      <c r="B24" s="572" t="s">
        <v>1076</v>
      </c>
      <c r="C24" s="572"/>
      <c r="D24" s="572"/>
      <c r="E24" s="572"/>
      <c r="F24" s="572"/>
      <c r="G24" s="572"/>
    </row>
    <row r="42" spans="11:11">
      <c r="K42" s="56"/>
    </row>
    <row r="43" spans="11:11">
      <c r="K43" s="56"/>
    </row>
    <row r="44" spans="11:11">
      <c r="K44" s="56"/>
    </row>
    <row r="45" spans="11:11">
      <c r="K45" s="56"/>
    </row>
  </sheetData>
  <mergeCells count="10">
    <mergeCell ref="I1:J1"/>
    <mergeCell ref="B24:G24"/>
    <mergeCell ref="I2:J2"/>
    <mergeCell ref="F8:H8"/>
    <mergeCell ref="B22:G22"/>
    <mergeCell ref="B23:G23"/>
    <mergeCell ref="C7:D7"/>
    <mergeCell ref="I6:N6"/>
    <mergeCell ref="B5:G5"/>
    <mergeCell ref="K7:L7"/>
  </mergeCells>
  <hyperlinks>
    <hyperlink ref="I1:J1" location="Contents!A1" display="Return to contents" xr:uid="{00000000-0004-0000-1100-000000000000}"/>
  </hyperlink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D25B4-C973-4004-8D43-7AD5346527CD}">
  <dimension ref="A1:S17"/>
  <sheetViews>
    <sheetView workbookViewId="0">
      <selection activeCell="I1" sqref="I1:J1"/>
    </sheetView>
  </sheetViews>
  <sheetFormatPr defaultRowHeight="15"/>
  <cols>
    <col min="1" max="1" width="9.140625" style="56"/>
    <col min="2" max="2" width="14.7109375" style="56" customWidth="1"/>
    <col min="3" max="3" width="18.7109375" style="56" customWidth="1"/>
    <col min="4" max="4" width="17.7109375" style="56" customWidth="1"/>
    <col min="5" max="5" width="8.42578125" style="56" customWidth="1"/>
    <col min="6" max="6" width="42.7109375" style="56" customWidth="1"/>
    <col min="7" max="7" width="19.140625" style="56" customWidth="1"/>
    <col min="8" max="8" width="11" style="56" customWidth="1"/>
    <col min="9" max="16384" width="9.140625" style="56"/>
  </cols>
  <sheetData>
    <row r="1" spans="1:19" ht="16.5" thickTop="1" thickBot="1">
      <c r="I1" s="577" t="s">
        <v>3</v>
      </c>
      <c r="J1" s="578"/>
    </row>
    <row r="2" spans="1:19" ht="15.75" thickTop="1">
      <c r="I2" s="579"/>
      <c r="J2" s="579"/>
    </row>
    <row r="3" spans="1:19">
      <c r="I3" s="3"/>
      <c r="J3" s="3"/>
    </row>
    <row r="4" spans="1:19">
      <c r="I4" s="3"/>
      <c r="J4" s="3"/>
    </row>
    <row r="5" spans="1:19" ht="9" customHeight="1"/>
    <row r="6" spans="1:19" ht="15.75">
      <c r="B6" s="580" t="s">
        <v>919</v>
      </c>
      <c r="C6" s="580"/>
      <c r="D6" s="580"/>
      <c r="E6" s="581"/>
      <c r="F6" s="581"/>
      <c r="G6" s="581"/>
      <c r="H6" s="581"/>
      <c r="I6" s="581"/>
      <c r="J6" s="581"/>
    </row>
    <row r="7" spans="1:19" ht="15.75">
      <c r="B7" s="369"/>
      <c r="C7" s="369"/>
      <c r="D7" s="369"/>
      <c r="E7" s="370"/>
      <c r="F7" s="370"/>
      <c r="G7" s="370"/>
      <c r="H7" s="370"/>
      <c r="I7" s="370"/>
      <c r="J7" s="370"/>
    </row>
    <row r="8" spans="1:19" ht="15.75">
      <c r="B8" s="371"/>
      <c r="C8" s="582" t="s">
        <v>920</v>
      </c>
      <c r="D8" s="582"/>
      <c r="E8" s="370"/>
      <c r="F8" s="370"/>
      <c r="G8" s="370"/>
      <c r="H8" s="370"/>
      <c r="I8" s="370"/>
      <c r="J8" s="370"/>
    </row>
    <row r="9" spans="1:19">
      <c r="A9" s="373"/>
      <c r="B9" s="374" t="s">
        <v>396</v>
      </c>
      <c r="C9" s="372" t="s">
        <v>11</v>
      </c>
      <c r="D9" s="372" t="s">
        <v>553</v>
      </c>
      <c r="E9" s="375"/>
      <c r="F9" s="583"/>
      <c r="G9" s="583"/>
      <c r="H9" s="583"/>
    </row>
    <row r="10" spans="1:19" ht="15" customHeight="1">
      <c r="A10" s="376"/>
      <c r="B10" s="377" t="s">
        <v>921</v>
      </c>
      <c r="C10" s="385">
        <v>6021</v>
      </c>
      <c r="D10" s="385">
        <v>23663</v>
      </c>
      <c r="E10" s="378"/>
      <c r="F10" s="378"/>
      <c r="G10" s="373"/>
      <c r="H10" s="379"/>
      <c r="I10" s="380"/>
      <c r="J10" s="381"/>
      <c r="K10" s="381"/>
      <c r="L10" s="381"/>
      <c r="M10" s="381"/>
      <c r="N10" s="381"/>
      <c r="O10" s="381"/>
      <c r="P10" s="381"/>
      <c r="Q10" s="381"/>
      <c r="R10" s="381"/>
      <c r="S10" s="381"/>
    </row>
    <row r="11" spans="1:19">
      <c r="A11" s="40"/>
      <c r="B11" s="377" t="s">
        <v>922</v>
      </c>
      <c r="C11" s="385">
        <v>6906</v>
      </c>
      <c r="D11" s="385">
        <v>27990</v>
      </c>
      <c r="E11" s="378"/>
      <c r="F11" s="378"/>
      <c r="G11" s="41"/>
      <c r="H11" s="156"/>
      <c r="I11" s="381"/>
      <c r="J11" s="381"/>
      <c r="K11" s="381"/>
      <c r="L11" s="381"/>
      <c r="M11" s="381"/>
      <c r="N11" s="381"/>
      <c r="O11" s="381"/>
      <c r="P11" s="381"/>
      <c r="Q11" s="381"/>
      <c r="R11" s="381"/>
      <c r="S11" s="381"/>
    </row>
    <row r="12" spans="1:19">
      <c r="A12" s="40"/>
      <c r="B12" s="377" t="s">
        <v>923</v>
      </c>
      <c r="C12" s="385">
        <v>7920</v>
      </c>
      <c r="D12" s="385">
        <v>31653</v>
      </c>
      <c r="E12" s="378"/>
      <c r="F12" s="378"/>
      <c r="G12" s="41"/>
      <c r="H12" s="156"/>
      <c r="I12" s="381"/>
      <c r="J12" s="382"/>
      <c r="K12" s="381"/>
      <c r="L12" s="381"/>
      <c r="M12" s="381"/>
      <c r="N12" s="381"/>
      <c r="O12" s="381"/>
      <c r="P12" s="381"/>
      <c r="Q12" s="381"/>
      <c r="R12" s="381"/>
      <c r="S12" s="381"/>
    </row>
    <row r="13" spans="1:19">
      <c r="A13" s="40"/>
      <c r="B13" s="377" t="s">
        <v>924</v>
      </c>
      <c r="C13" s="385">
        <v>8724</v>
      </c>
      <c r="D13" s="385">
        <v>33440</v>
      </c>
      <c r="E13" s="378"/>
      <c r="F13" s="378"/>
      <c r="G13" s="41"/>
      <c r="H13" s="156"/>
      <c r="I13" s="381"/>
      <c r="J13" s="382"/>
      <c r="K13" s="381"/>
      <c r="L13" s="381"/>
      <c r="M13" s="381"/>
      <c r="N13" s="381"/>
      <c r="O13" s="381"/>
      <c r="P13" s="381"/>
      <c r="Q13" s="381"/>
      <c r="R13" s="381"/>
      <c r="S13" s="381"/>
    </row>
    <row r="14" spans="1:19">
      <c r="A14" s="40"/>
      <c r="B14" s="377" t="s">
        <v>925</v>
      </c>
      <c r="C14" s="385">
        <v>6913</v>
      </c>
      <c r="D14" s="385">
        <v>27584</v>
      </c>
      <c r="E14" s="378"/>
      <c r="F14" s="378"/>
      <c r="G14" s="41"/>
      <c r="H14" s="156"/>
      <c r="I14" s="381"/>
      <c r="J14" s="381"/>
      <c r="K14" s="381"/>
      <c r="L14" s="381"/>
      <c r="M14" s="381"/>
      <c r="N14" s="381"/>
      <c r="O14" s="381"/>
      <c r="P14" s="381"/>
      <c r="Q14" s="381"/>
      <c r="R14" s="381"/>
      <c r="S14" s="381"/>
    </row>
    <row r="15" spans="1:19" ht="15" customHeight="1">
      <c r="A15" s="40"/>
      <c r="B15" s="482" t="s">
        <v>926</v>
      </c>
      <c r="C15" s="483">
        <v>8325</v>
      </c>
      <c r="D15" s="483">
        <v>33333</v>
      </c>
      <c r="E15" s="378"/>
      <c r="F15" s="378"/>
      <c r="G15" s="41"/>
      <c r="H15" s="22"/>
    </row>
    <row r="16" spans="1:19" ht="15" customHeight="1">
      <c r="A16" s="40"/>
      <c r="B16" s="484" t="s">
        <v>1009</v>
      </c>
      <c r="C16" s="385"/>
      <c r="D16" s="385"/>
      <c r="E16" s="378"/>
      <c r="F16" s="378"/>
      <c r="G16" s="41"/>
      <c r="H16" s="22"/>
    </row>
    <row r="17" spans="2:7">
      <c r="B17" s="576" t="s">
        <v>1078</v>
      </c>
      <c r="C17" s="576"/>
      <c r="D17" s="576"/>
      <c r="E17" s="576"/>
      <c r="F17" s="576"/>
      <c r="G17" s="576"/>
    </row>
  </sheetData>
  <mergeCells count="6">
    <mergeCell ref="B17:G17"/>
    <mergeCell ref="I1:J1"/>
    <mergeCell ref="I2:J2"/>
    <mergeCell ref="B6:J6"/>
    <mergeCell ref="C8:D8"/>
    <mergeCell ref="F9:H9"/>
  </mergeCells>
  <hyperlinks>
    <hyperlink ref="I1:J1" location="Contents!A1" display="Return to contents" xr:uid="{AD0EABA0-0C54-4DD2-AAEF-3EC355DDF875}"/>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U48"/>
  <sheetViews>
    <sheetView showGridLines="0" zoomScaleNormal="100" workbookViewId="0">
      <selection activeCell="T1" sqref="T1:U1"/>
    </sheetView>
  </sheetViews>
  <sheetFormatPr defaultRowHeight="14.25"/>
  <cols>
    <col min="1" max="1" width="2.28515625" style="88" customWidth="1"/>
    <col min="2" max="2" width="20.42578125" style="157" customWidth="1"/>
    <col min="3" max="3" width="10.140625" style="88" customWidth="1"/>
    <col min="4" max="256" width="9.140625" style="88"/>
    <col min="257" max="257" width="2.28515625" style="88" customWidth="1"/>
    <col min="258" max="258" width="20.42578125" style="88" customWidth="1"/>
    <col min="259" max="259" width="10.140625" style="88" customWidth="1"/>
    <col min="260" max="512" width="9.140625" style="88"/>
    <col min="513" max="513" width="2.28515625" style="88" customWidth="1"/>
    <col min="514" max="514" width="20.42578125" style="88" customWidth="1"/>
    <col min="515" max="515" width="10.140625" style="88" customWidth="1"/>
    <col min="516" max="768" width="9.140625" style="88"/>
    <col min="769" max="769" width="2.28515625" style="88" customWidth="1"/>
    <col min="770" max="770" width="20.42578125" style="88" customWidth="1"/>
    <col min="771" max="771" width="10.140625" style="88" customWidth="1"/>
    <col min="772" max="1024" width="9.140625" style="88"/>
    <col min="1025" max="1025" width="2.28515625" style="88" customWidth="1"/>
    <col min="1026" max="1026" width="20.42578125" style="88" customWidth="1"/>
    <col min="1027" max="1027" width="10.140625" style="88" customWidth="1"/>
    <col min="1028" max="1280" width="9.140625" style="88"/>
    <col min="1281" max="1281" width="2.28515625" style="88" customWidth="1"/>
    <col min="1282" max="1282" width="20.42578125" style="88" customWidth="1"/>
    <col min="1283" max="1283" width="10.140625" style="88" customWidth="1"/>
    <col min="1284" max="1536" width="9.140625" style="88"/>
    <col min="1537" max="1537" width="2.28515625" style="88" customWidth="1"/>
    <col min="1538" max="1538" width="20.42578125" style="88" customWidth="1"/>
    <col min="1539" max="1539" width="10.140625" style="88" customWidth="1"/>
    <col min="1540" max="1792" width="9.140625" style="88"/>
    <col min="1793" max="1793" width="2.28515625" style="88" customWidth="1"/>
    <col min="1794" max="1794" width="20.42578125" style="88" customWidth="1"/>
    <col min="1795" max="1795" width="10.140625" style="88" customWidth="1"/>
    <col min="1796" max="2048" width="9.140625" style="88"/>
    <col min="2049" max="2049" width="2.28515625" style="88" customWidth="1"/>
    <col min="2050" max="2050" width="20.42578125" style="88" customWidth="1"/>
    <col min="2051" max="2051" width="10.140625" style="88" customWidth="1"/>
    <col min="2052" max="2304" width="9.140625" style="88"/>
    <col min="2305" max="2305" width="2.28515625" style="88" customWidth="1"/>
    <col min="2306" max="2306" width="20.42578125" style="88" customWidth="1"/>
    <col min="2307" max="2307" width="10.140625" style="88" customWidth="1"/>
    <col min="2308" max="2560" width="9.140625" style="88"/>
    <col min="2561" max="2561" width="2.28515625" style="88" customWidth="1"/>
    <col min="2562" max="2562" width="20.42578125" style="88" customWidth="1"/>
    <col min="2563" max="2563" width="10.140625" style="88" customWidth="1"/>
    <col min="2564" max="2816" width="9.140625" style="88"/>
    <col min="2817" max="2817" width="2.28515625" style="88" customWidth="1"/>
    <col min="2818" max="2818" width="20.42578125" style="88" customWidth="1"/>
    <col min="2819" max="2819" width="10.140625" style="88" customWidth="1"/>
    <col min="2820" max="3072" width="9.140625" style="88"/>
    <col min="3073" max="3073" width="2.28515625" style="88" customWidth="1"/>
    <col min="3074" max="3074" width="20.42578125" style="88" customWidth="1"/>
    <col min="3075" max="3075" width="10.140625" style="88" customWidth="1"/>
    <col min="3076" max="3328" width="9.140625" style="88"/>
    <col min="3329" max="3329" width="2.28515625" style="88" customWidth="1"/>
    <col min="3330" max="3330" width="20.42578125" style="88" customWidth="1"/>
    <col min="3331" max="3331" width="10.140625" style="88" customWidth="1"/>
    <col min="3332" max="3584" width="9.140625" style="88"/>
    <col min="3585" max="3585" width="2.28515625" style="88" customWidth="1"/>
    <col min="3586" max="3586" width="20.42578125" style="88" customWidth="1"/>
    <col min="3587" max="3587" width="10.140625" style="88" customWidth="1"/>
    <col min="3588" max="3840" width="9.140625" style="88"/>
    <col min="3841" max="3841" width="2.28515625" style="88" customWidth="1"/>
    <col min="3842" max="3842" width="20.42578125" style="88" customWidth="1"/>
    <col min="3843" max="3843" width="10.140625" style="88" customWidth="1"/>
    <col min="3844" max="4096" width="9.140625" style="88"/>
    <col min="4097" max="4097" width="2.28515625" style="88" customWidth="1"/>
    <col min="4098" max="4098" width="20.42578125" style="88" customWidth="1"/>
    <col min="4099" max="4099" width="10.140625" style="88" customWidth="1"/>
    <col min="4100" max="4352" width="9.140625" style="88"/>
    <col min="4353" max="4353" width="2.28515625" style="88" customWidth="1"/>
    <col min="4354" max="4354" width="20.42578125" style="88" customWidth="1"/>
    <col min="4355" max="4355" width="10.140625" style="88" customWidth="1"/>
    <col min="4356" max="4608" width="9.140625" style="88"/>
    <col min="4609" max="4609" width="2.28515625" style="88" customWidth="1"/>
    <col min="4610" max="4610" width="20.42578125" style="88" customWidth="1"/>
    <col min="4611" max="4611" width="10.140625" style="88" customWidth="1"/>
    <col min="4612" max="4864" width="9.140625" style="88"/>
    <col min="4865" max="4865" width="2.28515625" style="88" customWidth="1"/>
    <col min="4866" max="4866" width="20.42578125" style="88" customWidth="1"/>
    <col min="4867" max="4867" width="10.140625" style="88" customWidth="1"/>
    <col min="4868" max="5120" width="9.140625" style="88"/>
    <col min="5121" max="5121" width="2.28515625" style="88" customWidth="1"/>
    <col min="5122" max="5122" width="20.42578125" style="88" customWidth="1"/>
    <col min="5123" max="5123" width="10.140625" style="88" customWidth="1"/>
    <col min="5124" max="5376" width="9.140625" style="88"/>
    <col min="5377" max="5377" width="2.28515625" style="88" customWidth="1"/>
    <col min="5378" max="5378" width="20.42578125" style="88" customWidth="1"/>
    <col min="5379" max="5379" width="10.140625" style="88" customWidth="1"/>
    <col min="5380" max="5632" width="9.140625" style="88"/>
    <col min="5633" max="5633" width="2.28515625" style="88" customWidth="1"/>
    <col min="5634" max="5634" width="20.42578125" style="88" customWidth="1"/>
    <col min="5635" max="5635" width="10.140625" style="88" customWidth="1"/>
    <col min="5636" max="5888" width="9.140625" style="88"/>
    <col min="5889" max="5889" width="2.28515625" style="88" customWidth="1"/>
    <col min="5890" max="5890" width="20.42578125" style="88" customWidth="1"/>
    <col min="5891" max="5891" width="10.140625" style="88" customWidth="1"/>
    <col min="5892" max="6144" width="9.140625" style="88"/>
    <col min="6145" max="6145" width="2.28515625" style="88" customWidth="1"/>
    <col min="6146" max="6146" width="20.42578125" style="88" customWidth="1"/>
    <col min="6147" max="6147" width="10.140625" style="88" customWidth="1"/>
    <col min="6148" max="6400" width="9.140625" style="88"/>
    <col min="6401" max="6401" width="2.28515625" style="88" customWidth="1"/>
    <col min="6402" max="6402" width="20.42578125" style="88" customWidth="1"/>
    <col min="6403" max="6403" width="10.140625" style="88" customWidth="1"/>
    <col min="6404" max="6656" width="9.140625" style="88"/>
    <col min="6657" max="6657" width="2.28515625" style="88" customWidth="1"/>
    <col min="6658" max="6658" width="20.42578125" style="88" customWidth="1"/>
    <col min="6659" max="6659" width="10.140625" style="88" customWidth="1"/>
    <col min="6660" max="6912" width="9.140625" style="88"/>
    <col min="6913" max="6913" width="2.28515625" style="88" customWidth="1"/>
    <col min="6914" max="6914" width="20.42578125" style="88" customWidth="1"/>
    <col min="6915" max="6915" width="10.140625" style="88" customWidth="1"/>
    <col min="6916" max="7168" width="9.140625" style="88"/>
    <col min="7169" max="7169" width="2.28515625" style="88" customWidth="1"/>
    <col min="7170" max="7170" width="20.42578125" style="88" customWidth="1"/>
    <col min="7171" max="7171" width="10.140625" style="88" customWidth="1"/>
    <col min="7172" max="7424" width="9.140625" style="88"/>
    <col min="7425" max="7425" width="2.28515625" style="88" customWidth="1"/>
    <col min="7426" max="7426" width="20.42578125" style="88" customWidth="1"/>
    <col min="7427" max="7427" width="10.140625" style="88" customWidth="1"/>
    <col min="7428" max="7680" width="9.140625" style="88"/>
    <col min="7681" max="7681" width="2.28515625" style="88" customWidth="1"/>
    <col min="7682" max="7682" width="20.42578125" style="88" customWidth="1"/>
    <col min="7683" max="7683" width="10.140625" style="88" customWidth="1"/>
    <col min="7684" max="7936" width="9.140625" style="88"/>
    <col min="7937" max="7937" width="2.28515625" style="88" customWidth="1"/>
    <col min="7938" max="7938" width="20.42578125" style="88" customWidth="1"/>
    <col min="7939" max="7939" width="10.140625" style="88" customWidth="1"/>
    <col min="7940" max="8192" width="9.140625" style="88"/>
    <col min="8193" max="8193" width="2.28515625" style="88" customWidth="1"/>
    <col min="8194" max="8194" width="20.42578125" style="88" customWidth="1"/>
    <col min="8195" max="8195" width="10.140625" style="88" customWidth="1"/>
    <col min="8196" max="8448" width="9.140625" style="88"/>
    <col min="8449" max="8449" width="2.28515625" style="88" customWidth="1"/>
    <col min="8450" max="8450" width="20.42578125" style="88" customWidth="1"/>
    <col min="8451" max="8451" width="10.140625" style="88" customWidth="1"/>
    <col min="8452" max="8704" width="9.140625" style="88"/>
    <col min="8705" max="8705" width="2.28515625" style="88" customWidth="1"/>
    <col min="8706" max="8706" width="20.42578125" style="88" customWidth="1"/>
    <col min="8707" max="8707" width="10.140625" style="88" customWidth="1"/>
    <col min="8708" max="8960" width="9.140625" style="88"/>
    <col min="8961" max="8961" width="2.28515625" style="88" customWidth="1"/>
    <col min="8962" max="8962" width="20.42578125" style="88" customWidth="1"/>
    <col min="8963" max="8963" width="10.140625" style="88" customWidth="1"/>
    <col min="8964" max="9216" width="9.140625" style="88"/>
    <col min="9217" max="9217" width="2.28515625" style="88" customWidth="1"/>
    <col min="9218" max="9218" width="20.42578125" style="88" customWidth="1"/>
    <col min="9219" max="9219" width="10.140625" style="88" customWidth="1"/>
    <col min="9220" max="9472" width="9.140625" style="88"/>
    <col min="9473" max="9473" width="2.28515625" style="88" customWidth="1"/>
    <col min="9474" max="9474" width="20.42578125" style="88" customWidth="1"/>
    <col min="9475" max="9475" width="10.140625" style="88" customWidth="1"/>
    <col min="9476" max="9728" width="9.140625" style="88"/>
    <col min="9729" max="9729" width="2.28515625" style="88" customWidth="1"/>
    <col min="9730" max="9730" width="20.42578125" style="88" customWidth="1"/>
    <col min="9731" max="9731" width="10.140625" style="88" customWidth="1"/>
    <col min="9732" max="9984" width="9.140625" style="88"/>
    <col min="9985" max="9985" width="2.28515625" style="88" customWidth="1"/>
    <col min="9986" max="9986" width="20.42578125" style="88" customWidth="1"/>
    <col min="9987" max="9987" width="10.140625" style="88" customWidth="1"/>
    <col min="9988" max="10240" width="9.140625" style="88"/>
    <col min="10241" max="10241" width="2.28515625" style="88" customWidth="1"/>
    <col min="10242" max="10242" width="20.42578125" style="88" customWidth="1"/>
    <col min="10243" max="10243" width="10.140625" style="88" customWidth="1"/>
    <col min="10244" max="10496" width="9.140625" style="88"/>
    <col min="10497" max="10497" width="2.28515625" style="88" customWidth="1"/>
    <col min="10498" max="10498" width="20.42578125" style="88" customWidth="1"/>
    <col min="10499" max="10499" width="10.140625" style="88" customWidth="1"/>
    <col min="10500" max="10752" width="9.140625" style="88"/>
    <col min="10753" max="10753" width="2.28515625" style="88" customWidth="1"/>
    <col min="10754" max="10754" width="20.42578125" style="88" customWidth="1"/>
    <col min="10755" max="10755" width="10.140625" style="88" customWidth="1"/>
    <col min="10756" max="11008" width="9.140625" style="88"/>
    <col min="11009" max="11009" width="2.28515625" style="88" customWidth="1"/>
    <col min="11010" max="11010" width="20.42578125" style="88" customWidth="1"/>
    <col min="11011" max="11011" width="10.140625" style="88" customWidth="1"/>
    <col min="11012" max="11264" width="9.140625" style="88"/>
    <col min="11265" max="11265" width="2.28515625" style="88" customWidth="1"/>
    <col min="11266" max="11266" width="20.42578125" style="88" customWidth="1"/>
    <col min="11267" max="11267" width="10.140625" style="88" customWidth="1"/>
    <col min="11268" max="11520" width="9.140625" style="88"/>
    <col min="11521" max="11521" width="2.28515625" style="88" customWidth="1"/>
    <col min="11522" max="11522" width="20.42578125" style="88" customWidth="1"/>
    <col min="11523" max="11523" width="10.140625" style="88" customWidth="1"/>
    <col min="11524" max="11776" width="9.140625" style="88"/>
    <col min="11777" max="11777" width="2.28515625" style="88" customWidth="1"/>
    <col min="11778" max="11778" width="20.42578125" style="88" customWidth="1"/>
    <col min="11779" max="11779" width="10.140625" style="88" customWidth="1"/>
    <col min="11780" max="12032" width="9.140625" style="88"/>
    <col min="12033" max="12033" width="2.28515625" style="88" customWidth="1"/>
    <col min="12034" max="12034" width="20.42578125" style="88" customWidth="1"/>
    <col min="12035" max="12035" width="10.140625" style="88" customWidth="1"/>
    <col min="12036" max="12288" width="9.140625" style="88"/>
    <col min="12289" max="12289" width="2.28515625" style="88" customWidth="1"/>
    <col min="12290" max="12290" width="20.42578125" style="88" customWidth="1"/>
    <col min="12291" max="12291" width="10.140625" style="88" customWidth="1"/>
    <col min="12292" max="12544" width="9.140625" style="88"/>
    <col min="12545" max="12545" width="2.28515625" style="88" customWidth="1"/>
    <col min="12546" max="12546" width="20.42578125" style="88" customWidth="1"/>
    <col min="12547" max="12547" width="10.140625" style="88" customWidth="1"/>
    <col min="12548" max="12800" width="9.140625" style="88"/>
    <col min="12801" max="12801" width="2.28515625" style="88" customWidth="1"/>
    <col min="12802" max="12802" width="20.42578125" style="88" customWidth="1"/>
    <col min="12803" max="12803" width="10.140625" style="88" customWidth="1"/>
    <col min="12804" max="13056" width="9.140625" style="88"/>
    <col min="13057" max="13057" width="2.28515625" style="88" customWidth="1"/>
    <col min="13058" max="13058" width="20.42578125" style="88" customWidth="1"/>
    <col min="13059" max="13059" width="10.140625" style="88" customWidth="1"/>
    <col min="13060" max="13312" width="9.140625" style="88"/>
    <col min="13313" max="13313" width="2.28515625" style="88" customWidth="1"/>
    <col min="13314" max="13314" width="20.42578125" style="88" customWidth="1"/>
    <col min="13315" max="13315" width="10.140625" style="88" customWidth="1"/>
    <col min="13316" max="13568" width="9.140625" style="88"/>
    <col min="13569" max="13569" width="2.28515625" style="88" customWidth="1"/>
    <col min="13570" max="13570" width="20.42578125" style="88" customWidth="1"/>
    <col min="13571" max="13571" width="10.140625" style="88" customWidth="1"/>
    <col min="13572" max="13824" width="9.140625" style="88"/>
    <col min="13825" max="13825" width="2.28515625" style="88" customWidth="1"/>
    <col min="13826" max="13826" width="20.42578125" style="88" customWidth="1"/>
    <col min="13827" max="13827" width="10.140625" style="88" customWidth="1"/>
    <col min="13828" max="14080" width="9.140625" style="88"/>
    <col min="14081" max="14081" width="2.28515625" style="88" customWidth="1"/>
    <col min="14082" max="14082" width="20.42578125" style="88" customWidth="1"/>
    <col min="14083" max="14083" width="10.140625" style="88" customWidth="1"/>
    <col min="14084" max="14336" width="9.140625" style="88"/>
    <col min="14337" max="14337" width="2.28515625" style="88" customWidth="1"/>
    <col min="14338" max="14338" width="20.42578125" style="88" customWidth="1"/>
    <col min="14339" max="14339" width="10.140625" style="88" customWidth="1"/>
    <col min="14340" max="14592" width="9.140625" style="88"/>
    <col min="14593" max="14593" width="2.28515625" style="88" customWidth="1"/>
    <col min="14594" max="14594" width="20.42578125" style="88" customWidth="1"/>
    <col min="14595" max="14595" width="10.140625" style="88" customWidth="1"/>
    <col min="14596" max="14848" width="9.140625" style="88"/>
    <col min="14849" max="14849" width="2.28515625" style="88" customWidth="1"/>
    <col min="14850" max="14850" width="20.42578125" style="88" customWidth="1"/>
    <col min="14851" max="14851" width="10.140625" style="88" customWidth="1"/>
    <col min="14852" max="15104" width="9.140625" style="88"/>
    <col min="15105" max="15105" width="2.28515625" style="88" customWidth="1"/>
    <col min="15106" max="15106" width="20.42578125" style="88" customWidth="1"/>
    <col min="15107" max="15107" width="10.140625" style="88" customWidth="1"/>
    <col min="15108" max="15360" width="9.140625" style="88"/>
    <col min="15361" max="15361" width="2.28515625" style="88" customWidth="1"/>
    <col min="15362" max="15362" width="20.42578125" style="88" customWidth="1"/>
    <col min="15363" max="15363" width="10.140625" style="88" customWidth="1"/>
    <col min="15364" max="15616" width="9.140625" style="88"/>
    <col min="15617" max="15617" width="2.28515625" style="88" customWidth="1"/>
    <col min="15618" max="15618" width="20.42578125" style="88" customWidth="1"/>
    <col min="15619" max="15619" width="10.140625" style="88" customWidth="1"/>
    <col min="15620" max="15872" width="9.140625" style="88"/>
    <col min="15873" max="15873" width="2.28515625" style="88" customWidth="1"/>
    <col min="15874" max="15874" width="20.42578125" style="88" customWidth="1"/>
    <col min="15875" max="15875" width="10.140625" style="88" customWidth="1"/>
    <col min="15876" max="16128" width="9.140625" style="88"/>
    <col min="16129" max="16129" width="2.28515625" style="88" customWidth="1"/>
    <col min="16130" max="16130" width="20.42578125" style="88" customWidth="1"/>
    <col min="16131" max="16131" width="10.140625" style="88" customWidth="1"/>
    <col min="16132" max="16384" width="9.140625" style="88"/>
  </cols>
  <sheetData>
    <row r="1" spans="2:21" ht="15.75" thickTop="1" thickBot="1">
      <c r="T1" s="510" t="s">
        <v>3</v>
      </c>
      <c r="U1" s="511"/>
    </row>
    <row r="2" spans="2:21" ht="15" thickTop="1">
      <c r="C2" s="157"/>
      <c r="D2" s="157"/>
      <c r="E2" s="157"/>
      <c r="F2" s="157"/>
      <c r="G2" s="157"/>
      <c r="H2" s="157"/>
      <c r="I2" s="157"/>
      <c r="J2" s="157"/>
      <c r="L2" s="586"/>
      <c r="M2" s="587"/>
    </row>
    <row r="6" spans="2:21" ht="20.25">
      <c r="B6" s="43" t="s">
        <v>2</v>
      </c>
      <c r="C6" s="44"/>
    </row>
    <row r="7" spans="2:21" ht="15.75">
      <c r="B7" s="45" t="s">
        <v>882</v>
      </c>
      <c r="C7" s="46"/>
    </row>
    <row r="8" spans="2:21" ht="30.75" customHeight="1">
      <c r="B8" s="588" t="s">
        <v>883</v>
      </c>
      <c r="C8" s="589"/>
      <c r="D8" s="589"/>
      <c r="E8" s="589"/>
      <c r="F8" s="589"/>
      <c r="G8" s="589"/>
      <c r="H8" s="589"/>
      <c r="I8" s="589"/>
      <c r="J8" s="589"/>
      <c r="K8" s="589"/>
      <c r="L8" s="589"/>
      <c r="M8" s="589"/>
      <c r="N8" s="589"/>
      <c r="O8" s="589"/>
      <c r="P8" s="589"/>
      <c r="Q8" s="589"/>
      <c r="R8" s="589"/>
      <c r="S8" s="589"/>
    </row>
    <row r="9" spans="2:21" ht="60.75" customHeight="1">
      <c r="B9" s="588" t="s">
        <v>1010</v>
      </c>
      <c r="C9" s="588"/>
      <c r="D9" s="588"/>
      <c r="E9" s="588"/>
      <c r="F9" s="588"/>
      <c r="G9" s="588"/>
      <c r="H9" s="588"/>
      <c r="I9" s="588"/>
      <c r="J9" s="588"/>
      <c r="K9" s="588"/>
      <c r="L9" s="588"/>
      <c r="M9" s="588"/>
      <c r="N9" s="588"/>
      <c r="O9" s="588"/>
      <c r="P9" s="588"/>
      <c r="Q9" s="588"/>
      <c r="R9" s="588"/>
      <c r="S9" s="588"/>
    </row>
    <row r="10" spans="2:21" ht="27" customHeight="1">
      <c r="B10" s="588" t="s">
        <v>1011</v>
      </c>
      <c r="C10" s="588"/>
      <c r="D10" s="588"/>
      <c r="E10" s="588"/>
      <c r="F10" s="588"/>
      <c r="G10" s="588"/>
      <c r="H10" s="588"/>
      <c r="I10" s="588"/>
      <c r="J10" s="588"/>
      <c r="K10" s="588"/>
      <c r="L10" s="588"/>
      <c r="M10" s="588"/>
      <c r="N10" s="588"/>
      <c r="O10" s="588"/>
      <c r="P10" s="588"/>
      <c r="Q10" s="588"/>
      <c r="R10" s="588"/>
      <c r="S10" s="588"/>
    </row>
    <row r="11" spans="2:21" s="158" customFormat="1">
      <c r="B11" s="584" t="s">
        <v>1012</v>
      </c>
      <c r="C11" s="584"/>
      <c r="D11" s="584"/>
      <c r="E11" s="584"/>
      <c r="F11" s="584"/>
      <c r="G11" s="584"/>
      <c r="H11" s="584"/>
      <c r="I11" s="584"/>
      <c r="J11" s="584"/>
    </row>
    <row r="12" spans="2:21">
      <c r="B12" s="159"/>
      <c r="C12" s="159"/>
    </row>
    <row r="13" spans="2:21" ht="15.75">
      <c r="B13" s="47" t="s">
        <v>884</v>
      </c>
      <c r="C13" s="48"/>
    </row>
    <row r="14" spans="2:21" ht="99" customHeight="1">
      <c r="B14" s="590" t="s">
        <v>885</v>
      </c>
      <c r="C14" s="589"/>
      <c r="D14" s="589"/>
      <c r="E14" s="589"/>
      <c r="F14" s="589"/>
      <c r="G14" s="589"/>
      <c r="H14" s="589"/>
      <c r="I14" s="589"/>
      <c r="J14" s="589"/>
      <c r="K14" s="589"/>
      <c r="L14" s="589"/>
      <c r="M14" s="589"/>
      <c r="N14" s="589"/>
      <c r="O14" s="589"/>
      <c r="P14" s="589"/>
      <c r="Q14" s="589"/>
      <c r="R14" s="589"/>
      <c r="S14" s="589"/>
    </row>
    <row r="15" spans="2:21">
      <c r="B15" s="584" t="s">
        <v>472</v>
      </c>
      <c r="C15" s="584"/>
      <c r="D15" s="584"/>
      <c r="E15" s="584"/>
      <c r="F15" s="584"/>
      <c r="G15" s="584"/>
      <c r="H15" s="584"/>
      <c r="I15" s="584"/>
      <c r="J15" s="584"/>
      <c r="K15" s="584"/>
      <c r="L15" s="584"/>
      <c r="M15" s="584"/>
    </row>
    <row r="16" spans="2:21">
      <c r="B16" s="160"/>
    </row>
    <row r="17" spans="2:19" ht="15.75">
      <c r="B17" s="49" t="s">
        <v>47</v>
      </c>
      <c r="C17" s="50"/>
    </row>
    <row r="18" spans="2:19" ht="45" customHeight="1">
      <c r="B18" s="591" t="s">
        <v>556</v>
      </c>
      <c r="C18" s="591"/>
      <c r="D18" s="591"/>
      <c r="E18" s="591"/>
      <c r="F18" s="591"/>
      <c r="G18" s="591"/>
      <c r="H18" s="591"/>
      <c r="I18" s="591"/>
      <c r="J18" s="591"/>
      <c r="K18" s="591"/>
      <c r="L18" s="591"/>
      <c r="M18" s="591"/>
      <c r="N18" s="591"/>
      <c r="O18" s="591"/>
      <c r="P18" s="591"/>
      <c r="Q18" s="591"/>
      <c r="R18" s="591"/>
      <c r="S18" s="591"/>
    </row>
    <row r="19" spans="2:19">
      <c r="B19" s="245" t="s">
        <v>557</v>
      </c>
    </row>
    <row r="20" spans="2:19" ht="15" customHeight="1">
      <c r="B20" s="592" t="s">
        <v>1013</v>
      </c>
      <c r="C20" s="584"/>
      <c r="D20" s="584"/>
      <c r="E20" s="584"/>
      <c r="F20" s="584"/>
      <c r="G20" s="584"/>
      <c r="H20" s="584"/>
      <c r="I20" s="584"/>
      <c r="J20" s="584"/>
      <c r="K20" s="584"/>
      <c r="L20" s="584"/>
      <c r="M20" s="584"/>
      <c r="N20" s="584"/>
      <c r="O20" s="584"/>
      <c r="P20" s="584"/>
      <c r="Q20" s="584"/>
      <c r="R20" s="584"/>
      <c r="S20" s="584"/>
    </row>
    <row r="21" spans="2:19" ht="15" customHeight="1">
      <c r="B21" s="593" t="s">
        <v>1014</v>
      </c>
      <c r="C21" s="593"/>
      <c r="D21" s="593"/>
      <c r="E21" s="593"/>
      <c r="F21" s="593"/>
      <c r="G21" s="593"/>
      <c r="H21" s="593"/>
      <c r="I21" s="593"/>
    </row>
    <row r="22" spans="2:19" ht="15" customHeight="1">
      <c r="B22" s="593" t="s">
        <v>473</v>
      </c>
      <c r="C22" s="593"/>
      <c r="D22" s="593"/>
      <c r="E22" s="593"/>
      <c r="F22" s="593"/>
      <c r="G22" s="593"/>
      <c r="H22" s="593"/>
      <c r="I22" s="593"/>
    </row>
    <row r="23" spans="2:19" ht="15.75">
      <c r="B23" s="50"/>
    </row>
    <row r="24" spans="2:19">
      <c r="B24" s="590"/>
      <c r="C24" s="590"/>
    </row>
    <row r="25" spans="2:19" ht="15.75">
      <c r="B25" s="360" t="s">
        <v>727</v>
      </c>
    </row>
    <row r="26" spans="2:19" ht="44.25" customHeight="1">
      <c r="B26" s="591" t="s">
        <v>886</v>
      </c>
      <c r="C26" s="591"/>
      <c r="D26" s="591"/>
      <c r="E26" s="591"/>
      <c r="F26" s="591"/>
      <c r="G26" s="591"/>
      <c r="H26" s="591"/>
      <c r="I26" s="591"/>
      <c r="J26" s="591"/>
      <c r="K26" s="591"/>
      <c r="L26" s="591"/>
      <c r="M26" s="591"/>
      <c r="N26" s="591"/>
      <c r="O26" s="591"/>
      <c r="P26" s="591"/>
      <c r="Q26" s="591"/>
      <c r="R26" s="591"/>
      <c r="S26" s="591"/>
    </row>
    <row r="27" spans="2:19" ht="18.75" customHeight="1">
      <c r="B27" s="595" t="s">
        <v>887</v>
      </c>
      <c r="C27" s="595"/>
      <c r="D27" s="595"/>
      <c r="E27" s="595"/>
      <c r="F27" s="595"/>
      <c r="G27" s="595"/>
      <c r="H27" s="595"/>
      <c r="I27" s="595"/>
      <c r="J27" s="595"/>
      <c r="K27" s="595"/>
      <c r="L27" s="595"/>
      <c r="M27" s="248"/>
      <c r="N27" s="248"/>
      <c r="O27" s="248"/>
      <c r="P27" s="248"/>
      <c r="Q27" s="248"/>
      <c r="R27" s="248"/>
      <c r="S27" s="248"/>
    </row>
    <row r="28" spans="2:19" ht="26.25" customHeight="1">
      <c r="B28" s="248"/>
      <c r="C28" s="248"/>
      <c r="D28" s="248"/>
      <c r="E28" s="248"/>
      <c r="F28" s="248"/>
      <c r="G28" s="248"/>
      <c r="H28" s="248"/>
      <c r="I28" s="248"/>
      <c r="J28" s="248"/>
      <c r="K28" s="248"/>
      <c r="L28" s="248"/>
      <c r="M28" s="248"/>
      <c r="N28" s="248"/>
      <c r="O28" s="248"/>
      <c r="P28" s="248"/>
      <c r="Q28" s="248"/>
      <c r="R28" s="248"/>
      <c r="S28" s="248"/>
    </row>
    <row r="29" spans="2:19" ht="15.75">
      <c r="B29" s="361" t="s">
        <v>728</v>
      </c>
      <c r="C29" s="346"/>
    </row>
    <row r="30" spans="2:19" ht="60.75" customHeight="1">
      <c r="B30" s="591" t="s">
        <v>888</v>
      </c>
      <c r="C30" s="591"/>
      <c r="D30" s="591"/>
      <c r="E30" s="591"/>
      <c r="F30" s="591"/>
      <c r="G30" s="591"/>
      <c r="H30" s="591"/>
      <c r="I30" s="591"/>
      <c r="J30" s="591"/>
      <c r="K30" s="591"/>
      <c r="L30" s="591"/>
      <c r="M30" s="591"/>
      <c r="N30" s="591"/>
      <c r="O30" s="591"/>
      <c r="P30" s="591"/>
      <c r="Q30" s="591"/>
      <c r="R30" s="591"/>
      <c r="S30" s="591"/>
    </row>
    <row r="31" spans="2:19">
      <c r="B31" s="596" t="s">
        <v>889</v>
      </c>
      <c r="C31" s="596"/>
      <c r="D31" s="596"/>
      <c r="E31" s="596"/>
      <c r="F31" s="596"/>
      <c r="G31" s="596"/>
      <c r="H31" s="596"/>
      <c r="I31" s="596"/>
      <c r="J31" s="596"/>
      <c r="K31" s="596"/>
      <c r="L31" s="596"/>
    </row>
    <row r="32" spans="2:19">
      <c r="B32" s="585"/>
      <c r="C32" s="585"/>
    </row>
    <row r="33" spans="2:19">
      <c r="B33" s="161"/>
      <c r="C33" s="162"/>
    </row>
    <row r="34" spans="2:19" ht="15.75" customHeight="1">
      <c r="B34" s="346" t="s">
        <v>892</v>
      </c>
      <c r="C34" s="50"/>
    </row>
    <row r="35" spans="2:19" ht="41.25" customHeight="1">
      <c r="B35" s="597" t="s">
        <v>890</v>
      </c>
      <c r="C35" s="597"/>
      <c r="D35" s="597"/>
      <c r="E35" s="597"/>
      <c r="F35" s="597"/>
      <c r="G35" s="597"/>
      <c r="H35" s="597"/>
      <c r="I35" s="597"/>
      <c r="J35" s="597"/>
      <c r="K35" s="597"/>
      <c r="L35" s="597"/>
      <c r="M35" s="597"/>
      <c r="N35" s="597"/>
      <c r="O35" s="597"/>
      <c r="P35" s="597"/>
      <c r="Q35" s="597"/>
      <c r="R35" s="597"/>
      <c r="S35" s="597"/>
    </row>
    <row r="36" spans="2:19" ht="14.25" customHeight="1">
      <c r="B36" s="594" t="s">
        <v>891</v>
      </c>
      <c r="C36" s="594"/>
      <c r="D36" s="594"/>
      <c r="E36" s="594"/>
      <c r="F36" s="594"/>
      <c r="G36" s="594"/>
      <c r="H36" s="594"/>
      <c r="I36" s="594"/>
      <c r="J36" s="594"/>
      <c r="K36" s="594"/>
      <c r="L36" s="594"/>
      <c r="M36" s="594"/>
      <c r="N36" s="594"/>
      <c r="O36" s="594"/>
      <c r="P36" s="594"/>
      <c r="Q36" s="594"/>
      <c r="R36" s="594"/>
    </row>
    <row r="37" spans="2:19">
      <c r="B37" s="247"/>
      <c r="C37" s="247"/>
    </row>
    <row r="38" spans="2:19">
      <c r="B38" s="247"/>
      <c r="C38" s="247"/>
    </row>
    <row r="39" spans="2:19">
      <c r="B39" s="88"/>
    </row>
    <row r="40" spans="2:19">
      <c r="B40" s="584"/>
      <c r="C40" s="584"/>
    </row>
    <row r="42" spans="2:19">
      <c r="B42" s="159"/>
    </row>
    <row r="45" spans="2:19">
      <c r="B45" s="159"/>
    </row>
    <row r="48" spans="2:19">
      <c r="B48" s="159"/>
    </row>
  </sheetData>
  <mergeCells count="21">
    <mergeCell ref="T1:U1"/>
    <mergeCell ref="B27:L27"/>
    <mergeCell ref="B30:S30"/>
    <mergeCell ref="B31:L31"/>
    <mergeCell ref="B35:S35"/>
    <mergeCell ref="B40:C40"/>
    <mergeCell ref="B32:C32"/>
    <mergeCell ref="L2:M2"/>
    <mergeCell ref="B8:S8"/>
    <mergeCell ref="B11:J11"/>
    <mergeCell ref="B14:S14"/>
    <mergeCell ref="B15:M15"/>
    <mergeCell ref="B18:S18"/>
    <mergeCell ref="B20:S20"/>
    <mergeCell ref="B21:I21"/>
    <mergeCell ref="B22:I22"/>
    <mergeCell ref="B24:C24"/>
    <mergeCell ref="B26:S26"/>
    <mergeCell ref="B36:R36"/>
    <mergeCell ref="B9:S9"/>
    <mergeCell ref="B10:S10"/>
  </mergeCells>
  <hyperlinks>
    <hyperlink ref="B22:I22" r:id="rId1" display="- For more information on the AIHW National Mortality Database see Deaths data at AIHW." xr:uid="{00000000-0004-0000-1200-000000000000}"/>
    <hyperlink ref="B21:I21" r:id="rId2" display="- ABS quality declaration summary for Causes of death, Australia (ABS cat. no. 3303.0)" xr:uid="{00000000-0004-0000-1200-000001000000}"/>
    <hyperlink ref="B11:J11" r:id="rId3" display="Further information can be found on the ABS 2020–21 NHS First results methodology page." xr:uid="{00000000-0004-0000-1200-000002000000}"/>
    <hyperlink ref="B15:M15" r:id="rId4" display="Further information about the NHMD can be found in the Data quality statement: National Hospital Morbidity Database 2017–18" xr:uid="{00000000-0004-0000-1200-000003000000}"/>
    <hyperlink ref="T1:U1" location="Contents!A1" display="Return to contents" xr:uid="{00000000-0004-0000-1200-000004000000}"/>
    <hyperlink ref="B20:S20" r:id="rId5" display="- ABS quality declaration summary for Deaths, Australia (ABS cat. no. 3302.0)" xr:uid="{00000000-0004-0000-1200-000005000000}"/>
    <hyperlink ref="B27:L27" r:id="rId6" display="Furher information on the NNDSS can be found at the Australian Government Department of Healt hand Aged Care " xr:uid="{9244F60A-48F5-4D82-B9CB-251753A6720A}"/>
    <hyperlink ref="B31:L31" r:id="rId7" display="Further information on the Kirby Institute and the annual reports at the UNSW Kirby Institute" xr:uid="{A40DE754-6046-43F0-BB05-E722305F2087}"/>
    <hyperlink ref="B36:R36" r:id="rId8" display="Further information on Australian cancer data can be found at the AIHW website" xr:uid="{2743EBDD-5BE7-4376-A67D-45E16421AF6E}"/>
  </hyperlinks>
  <pageMargins left="0.7" right="0.7" top="0.75" bottom="0.75" header="0.3" footer="0.3"/>
  <pageSetup paperSize="9" orientation="portrait" r:id="rId9"/>
  <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AIHW_PPR_ProjectCategoryLookup xmlns="7777c4a5-487b-427e-8c46-e307d712d823"/>
  </documentManagement>
</p:properties>
</file>

<file path=customXml/item2.xml><?xml version="1.0" encoding="utf-8"?>
<ct:contentTypeSchema xmlns:ct="http://schemas.microsoft.com/office/2006/metadata/contentType" xmlns:ma="http://schemas.microsoft.com/office/2006/metadata/properties/metaAttributes" ct:_="" ma:_="" ma:contentTypeName="Project Document" ma:contentTypeID="0x010100B4A1F787F0C441AC878A307E051D262E0056D96D21C13BEE41AAA8002CB8E77E83" ma:contentTypeVersion="1" ma:contentTypeDescription="AIHW Project Document" ma:contentTypeScope="" ma:versionID="dfcc528d355b5482307b9426b142cf70">
  <xsd:schema xmlns:xsd="http://www.w3.org/2001/XMLSchema" xmlns:xs="http://www.w3.org/2001/XMLSchema" xmlns:p="http://schemas.microsoft.com/office/2006/metadata/properties" xmlns:ns2="7777c4a5-487b-427e-8c46-e307d712d823" targetNamespace="http://schemas.microsoft.com/office/2006/metadata/properties" ma:root="true" ma:fieldsID="3f99fc0fdfc645b25ccc1ee48b73bfd8" ns2:_="">
    <xsd:import namespace="7777c4a5-487b-427e-8c46-e307d712d823"/>
    <xsd:element name="properties">
      <xsd:complexType>
        <xsd:sequence>
          <xsd:element name="documentManagement">
            <xsd:complexType>
              <xsd:all>
                <xsd:element ref="ns2:AIHW_PPR_ProjectCategoryLookup"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77c4a5-487b-427e-8c46-e307d712d823"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e2e58772-27f3-4dc3-a3af-acadc2c46cc8}" ma:internalName="AIHW_PPR_ProjectCategoryLookup" ma:showField="Title" ma:web="{7777c4a5-487b-427e-8c46-e307d712d8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EE4E358-025E-4701-A172-69F5A91E329F}">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7777c4a5-487b-427e-8c46-e307d712d823"/>
    <ds:schemaRef ds:uri="http://www.w3.org/XML/1998/namespace"/>
    <ds:schemaRef ds:uri="http://purl.org/dc/dcmitype/"/>
  </ds:schemaRefs>
</ds:datastoreItem>
</file>

<file path=customXml/itemProps2.xml><?xml version="1.0" encoding="utf-8"?>
<ds:datastoreItem xmlns:ds="http://schemas.openxmlformats.org/officeDocument/2006/customXml" ds:itemID="{7B89D93D-D028-4E2B-8594-1033EBB112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77c4a5-487b-427e-8c46-e307d712d8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60FFAC5-7DAD-4D69-A2B0-D031C87849C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vt:i4>
      </vt:variant>
    </vt:vector>
  </HeadingPairs>
  <TitlesOfParts>
    <vt:vector size="21" baseType="lpstr">
      <vt:lpstr>Contents</vt:lpstr>
      <vt:lpstr>Table S1</vt:lpstr>
      <vt:lpstr>Table S2</vt:lpstr>
      <vt:lpstr>Table S3</vt:lpstr>
      <vt:lpstr>Table S4</vt:lpstr>
      <vt:lpstr>Table S5</vt:lpstr>
      <vt:lpstr>Table S6</vt:lpstr>
      <vt:lpstr>Table S7</vt:lpstr>
      <vt:lpstr>Table S8</vt:lpstr>
      <vt:lpstr>Table S9.1 and S9.2</vt:lpstr>
      <vt:lpstr>Table S10</vt:lpstr>
      <vt:lpstr>Table S11</vt:lpstr>
      <vt:lpstr>Table S12</vt:lpstr>
      <vt:lpstr>Table S13</vt:lpstr>
      <vt:lpstr>Table S14</vt:lpstr>
      <vt:lpstr>Table S15</vt:lpstr>
      <vt:lpstr>Table S16</vt:lpstr>
      <vt:lpstr>Table S17.1 and S17.2</vt:lpstr>
      <vt:lpstr>Table S18</vt:lpstr>
      <vt:lpstr>Data sources</vt:lpstr>
      <vt:lpstr>'Table S3'!_Hlk118728306</vt:lpstr>
    </vt:vector>
  </TitlesOfParts>
  <Company>AIHW</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Male and Female Health Supp Tables</dc:title>
  <dc:creator>AIHW</dc:creator>
  <cp:lastModifiedBy>Xu, Dian</cp:lastModifiedBy>
  <cp:lastPrinted>2023-04-26T23:05:31Z</cp:lastPrinted>
  <dcterms:created xsi:type="dcterms:W3CDTF">2019-02-20T02:28:31Z</dcterms:created>
  <dcterms:modified xsi:type="dcterms:W3CDTF">2023-06-06T02:02:47Z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0x010100B4A1F787F0C441AC878A307E051D262E0056D96D21C13BEE41AAA8002CB8E77E83</vt:lpwstr>
  </property>
</Properties>
</file>